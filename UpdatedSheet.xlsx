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A:\cs-clg_yr1\"/>
    </mc:Choice>
  </mc:AlternateContent>
  <xr:revisionPtr revIDLastSave="0" documentId="8_{6523F0FB-14C0-484F-88BA-F37EF560D0E8}" xr6:coauthVersionLast="47" xr6:coauthVersionMax="47" xr10:uidLastSave="{00000000-0000-0000-0000-000000000000}"/>
  <bookViews>
    <workbookView xWindow="-108" yWindow="-108" windowWidth="23256" windowHeight="12456" activeTab="4" xr2:uid="{5D7AC392-8394-4D71-9AA8-F7B9652D3244}"/>
  </bookViews>
  <sheets>
    <sheet name="Sheet1" sheetId="1" r:id="rId1"/>
    <sheet name="Sheet2" sheetId="2" r:id="rId2"/>
    <sheet name="Sheet3" sheetId="4" r:id="rId3"/>
    <sheet name="Sheet4" sheetId="5" r:id="rId4"/>
    <sheet name="Sheet5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7" l="1"/>
  <c r="F12" i="7"/>
  <c r="F11" i="7"/>
  <c r="F10" i="7"/>
  <c r="F9" i="7"/>
  <c r="E53" i="5"/>
  <c r="E51" i="5"/>
  <c r="C56" i="5"/>
  <c r="C54" i="5"/>
  <c r="C53" i="5"/>
  <c r="C50" i="5"/>
  <c r="C51" i="5"/>
  <c r="C49" i="5"/>
  <c r="D36" i="5"/>
  <c r="F10" i="5"/>
  <c r="B59" i="4"/>
  <c r="B58" i="4"/>
  <c r="B48" i="4"/>
  <c r="B47" i="4"/>
  <c r="E37" i="4"/>
  <c r="E36" i="4"/>
  <c r="J28" i="4"/>
  <c r="I28" i="4"/>
  <c r="G24" i="4"/>
  <c r="I24" i="4" s="1"/>
  <c r="G25" i="4"/>
  <c r="I25" i="4" s="1"/>
  <c r="G26" i="4"/>
  <c r="I26" i="4" s="1"/>
  <c r="G27" i="4"/>
  <c r="I27" i="4" s="1"/>
  <c r="G23" i="4"/>
  <c r="F24" i="4"/>
  <c r="J24" i="4" s="1"/>
  <c r="F25" i="4"/>
  <c r="F26" i="4"/>
  <c r="F27" i="4"/>
  <c r="F23" i="4"/>
  <c r="J23" i="4" s="1"/>
  <c r="B21" i="4"/>
  <c r="C21" i="4" s="1"/>
  <c r="B22" i="4"/>
  <c r="C22" i="4" s="1"/>
  <c r="B23" i="4"/>
  <c r="C23" i="4" s="1"/>
  <c r="B24" i="4"/>
  <c r="C24" i="4" s="1"/>
  <c r="B25" i="4"/>
  <c r="C25" i="4" s="1"/>
  <c r="B26" i="4"/>
  <c r="C26" i="4" s="1"/>
  <c r="B20" i="4"/>
  <c r="C20" i="4" s="1"/>
  <c r="J11" i="4"/>
  <c r="J12" i="4"/>
  <c r="J13" i="4"/>
  <c r="J14" i="4"/>
  <c r="J15" i="4"/>
  <c r="J10" i="4"/>
  <c r="I11" i="4"/>
  <c r="I12" i="4"/>
  <c r="I13" i="4"/>
  <c r="I14" i="4"/>
  <c r="I15" i="4"/>
  <c r="I10" i="4"/>
  <c r="B8" i="4"/>
  <c r="C8" i="4" s="1"/>
  <c r="B9" i="4"/>
  <c r="C9" i="4" s="1"/>
  <c r="B10" i="4"/>
  <c r="C10" i="4" s="1"/>
  <c r="B11" i="4"/>
  <c r="C11" i="4" s="1"/>
  <c r="B12" i="4"/>
  <c r="C12" i="4" s="1"/>
  <c r="B13" i="4"/>
  <c r="C13" i="4" s="1"/>
  <c r="B7" i="4"/>
  <c r="C7" i="4" s="1"/>
  <c r="J27" i="4" l="1"/>
  <c r="J26" i="4"/>
  <c r="J25" i="4"/>
  <c r="I23" i="4"/>
  <c r="C77" i="2" l="1"/>
  <c r="C78" i="2"/>
  <c r="C79" i="2"/>
  <c r="C80" i="2"/>
  <c r="C81" i="2"/>
  <c r="C82" i="2"/>
  <c r="C83" i="2"/>
  <c r="C84" i="2"/>
  <c r="C85" i="2"/>
  <c r="D70" i="2"/>
  <c r="D69" i="2"/>
  <c r="C49" i="2"/>
  <c r="D50" i="2"/>
  <c r="D51" i="2"/>
  <c r="D52" i="2"/>
  <c r="D53" i="2"/>
  <c r="D54" i="2"/>
  <c r="D55" i="2"/>
  <c r="D56" i="2"/>
  <c r="D57" i="2"/>
  <c r="D58" i="2"/>
  <c r="D59" i="2"/>
  <c r="D49" i="2"/>
  <c r="C50" i="2"/>
  <c r="C51" i="2"/>
  <c r="C52" i="2"/>
  <c r="C53" i="2"/>
  <c r="C54" i="2"/>
  <c r="C55" i="2"/>
  <c r="C56" i="2"/>
  <c r="C57" i="2"/>
  <c r="C58" i="2"/>
  <c r="C59" i="2"/>
  <c r="D35" i="2"/>
  <c r="D36" i="2"/>
  <c r="C34" i="2"/>
  <c r="D34" i="2" s="1"/>
  <c r="C35" i="2"/>
  <c r="C36" i="2"/>
  <c r="C14" i="2"/>
  <c r="D14" i="2"/>
  <c r="D15" i="2"/>
  <c r="D16" i="2"/>
  <c r="D17" i="2"/>
  <c r="D18" i="2"/>
  <c r="D19" i="2"/>
  <c r="D20" i="2"/>
  <c r="D21" i="2"/>
  <c r="C15" i="2"/>
  <c r="C16" i="2"/>
  <c r="C17" i="2"/>
  <c r="C18" i="2"/>
  <c r="C19" i="2"/>
  <c r="C20" i="2"/>
  <c r="C21" i="2"/>
  <c r="B16" i="1"/>
  <c r="C16" i="1" s="1"/>
  <c r="B58" i="1"/>
  <c r="C58" i="1"/>
  <c r="C59" i="1"/>
  <c r="C60" i="1"/>
  <c r="C61" i="1"/>
  <c r="C62" i="1"/>
  <c r="C63" i="1"/>
  <c r="C64" i="1"/>
  <c r="C65" i="1"/>
  <c r="C66" i="1"/>
  <c r="B59" i="1"/>
  <c r="B60" i="1"/>
  <c r="B61" i="1"/>
  <c r="B62" i="1"/>
  <c r="B63" i="1"/>
  <c r="B64" i="1"/>
  <c r="B65" i="1"/>
  <c r="B66" i="1"/>
  <c r="F34" i="1"/>
  <c r="F35" i="1"/>
  <c r="F36" i="1"/>
  <c r="F37" i="1"/>
  <c r="F39" i="1"/>
  <c r="F40" i="1"/>
  <c r="F41" i="1"/>
  <c r="F42" i="1"/>
  <c r="F43" i="1"/>
  <c r="E35" i="1"/>
  <c r="E36" i="1"/>
  <c r="E37" i="1"/>
  <c r="E38" i="1"/>
  <c r="F38" i="1" s="1"/>
  <c r="E39" i="1"/>
  <c r="E40" i="1"/>
  <c r="E41" i="1"/>
  <c r="E42" i="1"/>
  <c r="E43" i="1"/>
  <c r="E34" i="1"/>
  <c r="C17" i="1"/>
  <c r="C18" i="1"/>
  <c r="C19" i="1"/>
  <c r="C20" i="1"/>
  <c r="C21" i="1"/>
  <c r="B17" i="1"/>
  <c r="B18" i="1"/>
  <c r="B19" i="1"/>
  <c r="B20" i="1"/>
  <c r="B21" i="1"/>
</calcChain>
</file>

<file path=xl/sharedStrings.xml><?xml version="1.0" encoding="utf-8"?>
<sst xmlns="http://schemas.openxmlformats.org/spreadsheetml/2006/main" count="196" uniqueCount="158">
  <si>
    <t xml:space="preserve">Name : </t>
  </si>
  <si>
    <t>Lakhan Lal  Yadav</t>
  </si>
  <si>
    <t>SECTION "B"</t>
  </si>
  <si>
    <t xml:space="preserve">Roll No : </t>
  </si>
  <si>
    <t>25/CS(H)/148</t>
  </si>
  <si>
    <t>PC PRACTICALS</t>
  </si>
  <si>
    <t>If the team inspects 500 batches this month:</t>
  </si>
  <si>
    <t>1. What is the probability of finding exactly x defective bulbs in a single batch?</t>
  </si>
  <si>
    <t>2. What is the expected frequency of finding exactly x defective bulbs across all 500 batches?</t>
  </si>
  <si>
    <t>3. Plot the Binomial distribution and the expected frequencies.</t>
  </si>
  <si>
    <t>Trials (n)</t>
  </si>
  <si>
    <t>Prob (p)</t>
  </si>
  <si>
    <t>Total (N)</t>
  </si>
  <si>
    <t>Successes(x)</t>
  </si>
  <si>
    <t>P(X=x)</t>
  </si>
  <si>
    <t>Expected Frequency</t>
  </si>
  <si>
    <t>n</t>
  </si>
  <si>
    <t>p(red)</t>
  </si>
  <si>
    <t>p(blue)</t>
  </si>
  <si>
    <t>p(green)</t>
  </si>
  <si>
    <t>total (N)</t>
  </si>
  <si>
    <t>x1</t>
  </si>
  <si>
    <t>x2</t>
  </si>
  <si>
    <t>x3</t>
  </si>
  <si>
    <t>p(x)</t>
  </si>
  <si>
    <t>Expexted Freq</t>
  </si>
  <si>
    <t>Avg Typos (y)</t>
  </si>
  <si>
    <t>Errors (x)</t>
  </si>
  <si>
    <t>P(x)</t>
  </si>
  <si>
    <t>Expected Freq</t>
  </si>
  <si>
    <t>SECTION :  "B"</t>
  </si>
  <si>
    <t>PC   PRACTICALS</t>
  </si>
  <si>
    <r>
      <t xml:space="preserve">A software sales rep has a </t>
    </r>
    <r>
      <rPr>
        <b/>
        <sz val="11"/>
        <color theme="1"/>
        <rFont val="Arial"/>
        <family val="2"/>
      </rPr>
      <t>20% chance</t>
    </r>
    <r>
      <rPr>
        <sz val="11"/>
        <color theme="1"/>
        <rFont val="Arial"/>
        <family val="2"/>
      </rPr>
      <t xml:space="preserve"> ($p = 0.20$) of closing a deal on any given cold call.</t>
    </r>
  </si>
  <si>
    <r>
      <t xml:space="preserve">If we track </t>
    </r>
    <r>
      <rPr>
        <b/>
        <sz val="11"/>
        <color theme="1"/>
        <rFont val="Arial"/>
        <family val="2"/>
      </rPr>
      <t>100 different reps</t>
    </r>
    <r>
      <rPr>
        <sz val="11"/>
        <color theme="1"/>
        <rFont val="Arial"/>
        <family val="2"/>
      </rPr>
      <t xml:space="preserve">, what is the probability and expected frequency that a rep makes their </t>
    </r>
    <r>
      <rPr>
        <i/>
        <sz val="11"/>
        <color theme="1"/>
        <rFont val="Arial"/>
        <family val="2"/>
      </rPr>
      <t>first</t>
    </r>
    <r>
      <rPr>
        <sz val="11"/>
        <color theme="1"/>
        <rFont val="Arial"/>
        <family val="2"/>
      </rPr>
      <t xml:space="preserve"> successful sale on exactly the $x$-th call? Plot the distribution for the 1st through 10th call.</t>
    </r>
  </si>
  <si>
    <t>p(success)</t>
  </si>
  <si>
    <t>x</t>
  </si>
  <si>
    <r>
      <t xml:space="preserve">A company is giving away prizes using a digital spinner with </t>
    </r>
    <r>
      <rPr>
        <b/>
        <sz val="11"/>
        <color theme="1"/>
        <rFont val="Aptos Narrow"/>
        <family val="2"/>
        <scheme val="minor"/>
      </rPr>
      <t>8 equal slices</t>
    </r>
    <r>
      <rPr>
        <sz val="11"/>
        <color theme="1"/>
        <rFont val="Aptos Narrow"/>
        <family val="2"/>
        <scheme val="minor"/>
      </rPr>
      <t xml:space="preserve"> (numbered 1 through 8).</t>
    </r>
  </si>
  <si>
    <r>
      <t xml:space="preserve">If the company spins the wheel </t>
    </r>
    <r>
      <rPr>
        <b/>
        <sz val="11"/>
        <color theme="1"/>
        <rFont val="Aptos Narrow"/>
        <family val="2"/>
        <scheme val="minor"/>
      </rPr>
      <t>160 times</t>
    </r>
    <r>
      <rPr>
        <sz val="11"/>
        <color theme="1"/>
        <rFont val="Aptos Narrow"/>
        <family val="2"/>
        <scheme val="minor"/>
      </rPr>
      <t xml:space="preserve"> this week, what is the probability and expected frequency of landing on each specific number? Plot the distribution.</t>
    </r>
  </si>
  <si>
    <t>outcome(n)</t>
  </si>
  <si>
    <t>total spins (N)</t>
  </si>
  <si>
    <t>prob(x)</t>
  </si>
  <si>
    <t>expected freq</t>
  </si>
  <si>
    <r>
      <t xml:space="preserve">A customer service center receives a call on average every 5 minutes. This gives us a "Rate Parameter" ($\lambda$) of </t>
    </r>
    <r>
      <rPr>
        <b/>
        <sz val="11"/>
        <color theme="1"/>
        <rFont val="Arial"/>
        <family val="2"/>
      </rPr>
      <t>0.2 calls per minute</t>
    </r>
    <r>
      <rPr>
        <sz val="11"/>
        <color theme="1"/>
        <rFont val="Arial"/>
        <family val="2"/>
      </rPr>
      <t xml:space="preserve"> ($1 \div 5 = 0.2$).</t>
    </r>
  </si>
  <si>
    <t>What is the probability density (the shape of the curve) and the cumulative probability that the next call arrives within exactly $x$ minutes? Plot the continuous curve for 0 to 15 minutes.</t>
  </si>
  <si>
    <t xml:space="preserve">Rate </t>
  </si>
  <si>
    <t>Time (mins)</t>
  </si>
  <si>
    <t>PDF (curve)</t>
  </si>
  <si>
    <t>CDF (cumulative prob)</t>
  </si>
  <si>
    <r>
      <t xml:space="preserve">A cafe weighs 5 bags of coffee beans to check their roasting machine. The weights (in grams) are: </t>
    </r>
    <r>
      <rPr>
        <b/>
        <sz val="11"/>
        <color theme="1"/>
        <rFont val="Aptos Narrow"/>
        <family val="2"/>
        <scheme val="minor"/>
      </rPr>
      <t>248, 252, 249, 251, 250</t>
    </r>
    <r>
      <rPr>
        <sz val="11"/>
        <color theme="1"/>
        <rFont val="Aptos Narrow"/>
        <family val="2"/>
        <scheme val="minor"/>
      </rPr>
      <t>.</t>
    </r>
  </si>
  <si>
    <r>
      <t xml:space="preserve">Calculate the Mean and Standard Deviation from this data to </t>
    </r>
    <r>
      <rPr>
        <b/>
        <sz val="11"/>
        <color theme="1"/>
        <rFont val="Aptos Narrow"/>
        <family val="2"/>
        <scheme val="minor"/>
      </rPr>
      <t>fit</t>
    </r>
    <r>
      <rPr>
        <sz val="11"/>
        <color theme="1"/>
        <rFont val="Aptos Narrow"/>
        <family val="2"/>
        <scheme val="minor"/>
      </rPr>
      <t xml:space="preserve"> a Normal distribution. Then, plot the theoretical bell curve for weights ranging from 245g to 255g.</t>
    </r>
  </si>
  <si>
    <t>Raw data</t>
  </si>
  <si>
    <t>Cal. Mean</t>
  </si>
  <si>
    <t>Calculated std</t>
  </si>
  <si>
    <t>weights (x)</t>
  </si>
  <si>
    <t>Pdf (curve)</t>
  </si>
  <si>
    <t>Sample</t>
  </si>
  <si>
    <t>Interval</t>
  </si>
  <si>
    <t>EXPONENTIAL DISTRIBUTION</t>
  </si>
  <si>
    <t>P(X)</t>
  </si>
  <si>
    <t>Mean (mu)</t>
  </si>
  <si>
    <t>lambda</t>
  </si>
  <si>
    <t>inteval</t>
  </si>
  <si>
    <t>lower limit</t>
  </si>
  <si>
    <t>upper limit</t>
  </si>
  <si>
    <t>cdf</t>
  </si>
  <si>
    <t xml:space="preserve">Sample </t>
  </si>
  <si>
    <t>MEAN (MU)</t>
  </si>
  <si>
    <t>std</t>
  </si>
  <si>
    <t>30 - 35</t>
  </si>
  <si>
    <t>35 - 40</t>
  </si>
  <si>
    <t>40 - 45</t>
  </si>
  <si>
    <t>45 - 50</t>
  </si>
  <si>
    <t>50 - 60</t>
  </si>
  <si>
    <t>65+</t>
  </si>
  <si>
    <t>CDF</t>
  </si>
  <si>
    <t>NORMAL DISTRIBUTION</t>
  </si>
  <si>
    <t>Application Problem: Binomial Distribution</t>
  </si>
  <si>
    <r>
      <t xml:space="preserve">A digital marketing agency runs an email campaign for a new software tool. Historically, the conversion rate (click-to-purchase) is </t>
    </r>
    <r>
      <rPr>
        <b/>
        <sz val="11"/>
        <color theme="1"/>
        <rFont val="Arial"/>
        <family val="2"/>
      </rPr>
      <t>8%</t>
    </r>
    <r>
      <rPr>
        <sz val="11"/>
        <color theme="1"/>
        <rFont val="Arial"/>
        <family val="2"/>
      </rPr>
      <t xml:space="preserve"> ($0.08$). The agency sends the email blast to a targeted list of </t>
    </r>
    <r>
      <rPr>
        <b/>
        <sz val="11"/>
        <color theme="1"/>
        <rFont val="Arial"/>
        <family val="2"/>
      </rPr>
      <t>250</t>
    </r>
    <r>
      <rPr>
        <sz val="11"/>
        <color theme="1"/>
        <rFont val="Arial"/>
        <family val="2"/>
      </rPr>
      <t xml:space="preserve"> leads.</t>
    </r>
  </si>
  <si>
    <t>1. What is the probability that exactly 20 people make a purchase?</t>
  </si>
  <si>
    <t>2. What is the probability that at least 15 people make a purchase?</t>
  </si>
  <si>
    <t>Trials n</t>
  </si>
  <si>
    <t>Prob p</t>
  </si>
  <si>
    <t>Ans 1</t>
  </si>
  <si>
    <t>Ans 2</t>
  </si>
  <si>
    <t>Application Problem: Poisson Distribution</t>
  </si>
  <si>
    <r>
      <t xml:space="preserve">A hospital emergency room is evaluating its staffing needs. During the night shift, they receive an average of </t>
    </r>
    <r>
      <rPr>
        <b/>
        <sz val="11"/>
        <color theme="1"/>
        <rFont val="Aptos Narrow"/>
        <family val="2"/>
        <scheme val="minor"/>
      </rPr>
      <t>4.5 patients per hour</t>
    </r>
    <r>
      <rPr>
        <sz val="11"/>
        <color theme="1"/>
        <rFont val="Aptos Narrow"/>
        <family val="2"/>
        <scheme val="minor"/>
      </rPr>
      <t>.</t>
    </r>
  </si>
  <si>
    <t>1. What is the probability that exactly 3 patients arrive in a given hour?</t>
  </si>
  <si>
    <t>2. What is the probability that more than 5 patients arrive in a single hour (which would require calling in a backup doctor)?</t>
  </si>
  <si>
    <t>Lambda</t>
  </si>
  <si>
    <t>Application Problem: Normal Distribution</t>
  </si>
  <si>
    <r>
      <t xml:space="preserve">A manufacturing plant fills bottles of drinking water. The machinery is calibrated so that the volume of water per bottle is normally distributed with a </t>
    </r>
    <r>
      <rPr>
        <b/>
        <sz val="11"/>
        <color theme="1"/>
        <rFont val="Aptos Narrow"/>
        <family val="2"/>
        <scheme val="minor"/>
      </rPr>
      <t>Mean of 502 ml</t>
    </r>
    <r>
      <rPr>
        <sz val="11"/>
        <color theme="1"/>
        <rFont val="Aptos Narrow"/>
        <family val="2"/>
        <scheme val="minor"/>
      </rPr>
      <t xml:space="preserve"> and a </t>
    </r>
    <r>
      <rPr>
        <b/>
        <sz val="11"/>
        <color theme="1"/>
        <rFont val="Aptos Narrow"/>
        <family val="2"/>
        <scheme val="minor"/>
      </rPr>
      <t>Standard Deviation of 4 ml</t>
    </r>
    <r>
      <rPr>
        <sz val="11"/>
        <color theme="1"/>
        <rFont val="Aptos Narrow"/>
        <family val="2"/>
        <scheme val="minor"/>
      </rPr>
      <t>. The legal minimum volume printed on the label is 495 ml.</t>
    </r>
  </si>
  <si>
    <t>1. What is the probability that a randomly selected bottle violates the law by containing less than 495 ml?</t>
  </si>
  <si>
    <t>2. What is the probability that a bottle contains an ideal volume between 498 ml and 506 ml?</t>
  </si>
  <si>
    <t>std dev</t>
  </si>
  <si>
    <t>Ans 1 :</t>
  </si>
  <si>
    <t>Ans 2 :</t>
  </si>
  <si>
    <t>Week</t>
  </si>
  <si>
    <t>w1</t>
  </si>
  <si>
    <t>w2</t>
  </si>
  <si>
    <t>w3</t>
  </si>
  <si>
    <t>w4</t>
  </si>
  <si>
    <t>w5</t>
  </si>
  <si>
    <t>customers (y)</t>
  </si>
  <si>
    <t>spend in $ (x)</t>
  </si>
  <si>
    <t>Sample Convariance</t>
  </si>
  <si>
    <t>Application Problem: Bivariate Data &amp; Covariance</t>
  </si>
  <si>
    <r>
      <t xml:space="preserve">A retail store manager wants to know if spending more money on local social media advertising actually drives more foot traffic (customers) into the store. They track the data over </t>
    </r>
    <r>
      <rPr>
        <b/>
        <sz val="11"/>
        <color theme="1"/>
        <rFont val="Aptos Narrow"/>
        <family val="2"/>
        <scheme val="minor"/>
      </rPr>
      <t>5 weeks</t>
    </r>
    <r>
      <rPr>
        <sz val="11"/>
        <color theme="1"/>
        <rFont val="Aptos Narrow"/>
        <family val="2"/>
        <scheme val="minor"/>
      </rPr>
      <t>.</t>
    </r>
  </si>
  <si>
    <t>1. Plot the bivariate data on a Scatter Plot to visually inspect the relationship.</t>
  </si>
  <si>
    <t>2. Calculate the Sample Covariance to mathematically prove if the relationship is positive or negative.</t>
  </si>
  <si>
    <t>Application Problem: Karl Pearson’s Correlation</t>
  </si>
  <si>
    <t xml:space="preserve">You are training a machine learning model and want to mathematically prove the relationship between the amount of training time and the model's performance. </t>
  </si>
  <si>
    <t>You track the Number of Training Epochs against the resulting Model Accuracy (%) over 5 test runs.</t>
  </si>
  <si>
    <t>run</t>
  </si>
  <si>
    <t>test1</t>
  </si>
  <si>
    <t>test2</t>
  </si>
  <si>
    <t>test3</t>
  </si>
  <si>
    <t>test4</t>
  </si>
  <si>
    <t>test5</t>
  </si>
  <si>
    <t>Trainings X</t>
  </si>
  <si>
    <t>Accuracy Y</t>
  </si>
  <si>
    <t>r :</t>
  </si>
  <si>
    <t>Application Problem: Bivariate Frequency Distribution</t>
  </si>
  <si>
    <r>
      <t xml:space="preserve">An HR manager wants to find the correlation between a candidate's </t>
    </r>
    <r>
      <rPr>
        <b/>
        <sz val="11"/>
        <color theme="1"/>
        <rFont val="Arial"/>
        <family val="2"/>
      </rPr>
      <t>Years of Experience ($X$)</t>
    </r>
    <r>
      <rPr>
        <sz val="11"/>
        <color theme="1"/>
        <rFont val="Aptos Narrow"/>
        <family val="2"/>
        <scheme val="minor"/>
      </rPr>
      <t xml:space="preserve"> and their </t>
    </r>
    <r>
      <rPr>
        <b/>
        <sz val="11"/>
        <color theme="1"/>
        <rFont val="Arial"/>
        <family val="2"/>
      </rPr>
      <t>Starting Salary in $1,000s ($Y$)</t>
    </r>
    <r>
      <rPr>
        <sz val="11"/>
        <color theme="1"/>
        <rFont val="Aptos Narrow"/>
        <family val="2"/>
        <scheme val="minor"/>
      </rPr>
      <t xml:space="preserve">. </t>
    </r>
  </si>
  <si>
    <t>Because there are so many employees, the data is grouped into a 3x3 frequency grid showing how many employees fall into each bucket.</t>
  </si>
  <si>
    <t>Experience(X)/Salary(Y)</t>
  </si>
  <si>
    <t>RAW DATA</t>
  </si>
  <si>
    <t>Sum of f'X</t>
  </si>
  <si>
    <t>Sum of f'X^2</t>
  </si>
  <si>
    <t>Sum of f'Y</t>
  </si>
  <si>
    <t>Sum of f'Y^2</t>
  </si>
  <si>
    <t>Sum of f'XY</t>
  </si>
  <si>
    <t>Numerator</t>
  </si>
  <si>
    <t>Denominator</t>
  </si>
  <si>
    <t>Karl Pearson's Correlation r</t>
  </si>
  <si>
    <t>Binomial</t>
  </si>
  <si>
    <t>Poisson</t>
  </si>
  <si>
    <t xml:space="preserve">Generating Random numbers from discrete (Bernoulli, Binomial, Poisson) distributions. </t>
  </si>
  <si>
    <t>Generating Random numbers from continuous (Uniform, Normal) distributions.</t>
  </si>
  <si>
    <t>The Parameter Box</t>
  </si>
  <si>
    <t xml:space="preserve">Distributions </t>
  </si>
  <si>
    <t>parameters</t>
  </si>
  <si>
    <t>Bernoulli</t>
  </si>
  <si>
    <t>p = 0.3</t>
  </si>
  <si>
    <t>n = 20, p = 0.5</t>
  </si>
  <si>
    <t>lambda = 4</t>
  </si>
  <si>
    <t>Const. Uniform</t>
  </si>
  <si>
    <t>Min=10.0, Max = 50.0</t>
  </si>
  <si>
    <t>Normal</t>
  </si>
  <si>
    <t>mu = 100, var = 15</t>
  </si>
  <si>
    <t>Sample Id</t>
  </si>
  <si>
    <t>Poisson*</t>
  </si>
  <si>
    <t>Uniform</t>
  </si>
  <si>
    <r>
      <t xml:space="preserve">A manufacturing plant produces LED bulbs. Historically, </t>
    </r>
    <r>
      <rPr>
        <b/>
        <sz val="12"/>
        <color theme="1"/>
        <rFont val="Aptos Narrow"/>
        <family val="2"/>
        <scheme val="minor"/>
      </rPr>
      <t>8%</t>
    </r>
    <r>
      <rPr>
        <sz val="12"/>
        <color theme="1"/>
        <rFont val="Aptos Narrow"/>
        <family val="2"/>
        <scheme val="minor"/>
      </rPr>
      <t xml:space="preserve"> of the bulbs produced have a minor cosmetic defect. The quality control team randomly selects batches of </t>
    </r>
    <r>
      <rPr>
        <b/>
        <sz val="12"/>
        <color theme="1"/>
        <rFont val="Aptos Narrow"/>
        <family val="2"/>
        <scheme val="minor"/>
      </rPr>
      <t>50 bulbs</t>
    </r>
    <r>
      <rPr>
        <sz val="12"/>
        <color theme="1"/>
        <rFont val="Aptos Narrow"/>
        <family val="2"/>
        <scheme val="minor"/>
      </rPr>
      <t xml:space="preserve"> to inspect every hour.</t>
    </r>
  </si>
  <si>
    <r>
      <t xml:space="preserve">A bag has marbles with the following probabilities: </t>
    </r>
    <r>
      <rPr>
        <b/>
        <sz val="12"/>
        <color theme="1"/>
        <rFont val="Aptos Narrow"/>
        <family val="2"/>
        <scheme val="minor"/>
      </rPr>
      <t>Red (50%)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Blue (30%)</t>
    </r>
    <r>
      <rPr>
        <sz val="12"/>
        <color theme="1"/>
        <rFont val="Aptos Narrow"/>
        <family val="2"/>
        <scheme val="minor"/>
      </rPr>
      <t xml:space="preserve">, and </t>
    </r>
    <r>
      <rPr>
        <b/>
        <sz val="12"/>
        <color theme="1"/>
        <rFont val="Aptos Narrow"/>
        <family val="2"/>
        <scheme val="minor"/>
      </rPr>
      <t>Green (20%)</t>
    </r>
    <r>
      <rPr>
        <sz val="12"/>
        <color theme="1"/>
        <rFont val="Aptos Narrow"/>
        <family val="2"/>
        <scheme val="minor"/>
      </rPr>
      <t xml:space="preserve">. You draw exactly </t>
    </r>
    <r>
      <rPr>
        <b/>
        <sz val="12"/>
        <color theme="1"/>
        <rFont val="Aptos Narrow"/>
        <family val="2"/>
        <scheme val="minor"/>
      </rPr>
      <t>3 marbles</t>
    </r>
    <r>
      <rPr>
        <sz val="12"/>
        <color theme="1"/>
        <rFont val="Aptos Narrow"/>
        <family val="2"/>
        <scheme val="minor"/>
      </rPr>
      <t xml:space="preserve"> (putting them back each time).</t>
    </r>
  </si>
  <si>
    <r>
      <t xml:space="preserve">If you do this </t>
    </r>
    <r>
      <rPr>
        <b/>
        <sz val="12"/>
        <color theme="1"/>
        <rFont val="Aptos Narrow"/>
        <family val="2"/>
        <scheme val="minor"/>
      </rPr>
      <t>100 times</t>
    </r>
    <r>
      <rPr>
        <sz val="12"/>
        <color theme="1"/>
        <rFont val="Aptos Narrow"/>
        <family val="2"/>
        <scheme val="minor"/>
      </rPr>
      <t>, what is the probability and expected frequency of getting each possible color combination? Plot the distribution.</t>
    </r>
  </si>
  <si>
    <r>
      <t xml:space="preserve">A data entry clerk makes an average of </t>
    </r>
    <r>
      <rPr>
        <b/>
        <sz val="12"/>
        <color theme="1"/>
        <rFont val="Arial"/>
        <family val="2"/>
      </rPr>
      <t>2 typos per page</t>
    </r>
    <r>
      <rPr>
        <sz val="12"/>
        <color theme="1"/>
        <rFont val="Arial"/>
        <family val="2"/>
      </rPr>
      <t xml:space="preserve"> ($\lambda = 2$).</t>
    </r>
  </si>
  <si>
    <r>
      <t xml:space="preserve">If you review a book of </t>
    </r>
    <r>
      <rPr>
        <b/>
        <sz val="12"/>
        <color theme="1"/>
        <rFont val="Arial"/>
        <family val="2"/>
      </rPr>
      <t>100 pages</t>
    </r>
    <r>
      <rPr>
        <sz val="12"/>
        <color theme="1"/>
        <rFont val="Arial"/>
        <family val="2"/>
      </rPr>
      <t>, what is the probability and expected frequency of finding exactly $x$ typos on a single page? Plot the distribution for 0 to 8 typos.</t>
    </r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</si>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</sst>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 * #,##0.00_ ;_ * \-#,##0.00_ ;_ * &quot;-&quot;??_ ;_ @_ "/>
  </numFmts>
  <fonts count="1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0"/>
      <color theme="1"/>
      <name val="Arial Unicode MS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7" fontId="6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0" fillId="0" borderId="0" xfId="0"/>
    <xf numFmtId="0" fontId="0" fillId="0" borderId="0" xfId="0" applyFont="1"/>
    <xf numFmtId="0" fontId="1" fillId="0" borderId="0" xfId="0" applyFont="1" applyAlignment="1">
      <alignment vertical="center"/>
    </xf>
    <xf numFmtId="0" fontId="11" fillId="0" borderId="0" xfId="0" applyFont="1"/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6" borderId="0" xfId="0" applyFill="1"/>
    <xf numFmtId="0" fontId="0" fillId="5" borderId="0" xfId="0" applyFill="1"/>
    <xf numFmtId="0" fontId="5" fillId="6" borderId="1" xfId="0" applyFont="1" applyFill="1" applyBorder="1"/>
    <xf numFmtId="0" fontId="0" fillId="6" borderId="1" xfId="0" applyFont="1" applyFill="1" applyBorder="1"/>
    <xf numFmtId="0" fontId="0" fillId="6" borderId="1" xfId="0" applyFill="1" applyBorder="1" applyAlignment="1">
      <alignment horizontal="left" vertical="center" indent="1"/>
    </xf>
    <xf numFmtId="0" fontId="8" fillId="6" borderId="1" xfId="0" applyFont="1" applyFill="1" applyBorder="1" applyAlignment="1">
      <alignment horizontal="left" vertical="center" indent="1"/>
    </xf>
    <xf numFmtId="0" fontId="0" fillId="5" borderId="1" xfId="0" applyFill="1" applyBorder="1" applyAlignment="1">
      <alignment horizontal="left" vertical="center" inden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0" fillId="7" borderId="1" xfId="0" applyFill="1" applyBorder="1"/>
    <xf numFmtId="0" fontId="0" fillId="2" borderId="1" xfId="0" applyFill="1" applyBorder="1"/>
    <xf numFmtId="0" fontId="12" fillId="2" borderId="1" xfId="0" applyFont="1" applyFill="1" applyBorder="1"/>
    <xf numFmtId="0" fontId="14" fillId="8" borderId="1" xfId="0" applyFont="1" applyFill="1" applyBorder="1"/>
    <xf numFmtId="0" fontId="10" fillId="8" borderId="1" xfId="0" applyFont="1" applyFill="1" applyBorder="1"/>
    <xf numFmtId="0" fontId="0" fillId="2" borderId="1" xfId="0" applyFill="1" applyBorder="1" applyAlignment="1">
      <alignment horizontal="left" vertical="center" indent="1"/>
    </xf>
    <xf numFmtId="0" fontId="16" fillId="0" borderId="0" xfId="0" applyFont="1" applyAlignment="1">
      <alignment vertical="center"/>
    </xf>
  </cellXfs>
  <cellStyles count="2">
    <cellStyle name="Comma 2" xfId="1" xr:uid="{9F2F7290-51D3-4F45-AD1F-93F1B2298D1E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Binomial Distribution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384699736517465E-2"/>
          <c:y val="0.31658177702320317"/>
          <c:w val="0.86515430735568111"/>
          <c:h val="0.53065429639631212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6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</c:numLit>
          </c:cat>
          <c:val>
            <c:numRef>
              <c:f>Sheet1!$B$16:$B$21</c:f>
              <c:numCache>
                <c:formatCode>General</c:formatCode>
                <c:ptCount val="6"/>
                <c:pt idx="0">
                  <c:v>1.5466475831843464E-2</c:v>
                </c:pt>
                <c:pt idx="1">
                  <c:v>6.7245547094971575E-2</c:v>
                </c:pt>
                <c:pt idx="2">
                  <c:v>0.14326225250667859</c:v>
                </c:pt>
                <c:pt idx="3">
                  <c:v>0.1993213947919007</c:v>
                </c:pt>
                <c:pt idx="4">
                  <c:v>0.20365446859172465</c:v>
                </c:pt>
                <c:pt idx="5">
                  <c:v>0.16292357487337975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E-49AB-BF8F-E5E35BCB38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2074512512"/>
        <c:axId val="2074511552"/>
      </c:barChart>
      <c:catAx>
        <c:axId val="207451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511552"/>
        <c:crosses val="autoZero"/>
        <c:auto val="1"/>
        <c:lblAlgn val="ctr"/>
        <c:lblOffset val="100"/>
        <c:noMultiLvlLbl val="0"/>
      </c:catAx>
      <c:valAx>
        <c:axId val="20745115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51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Multinomial Distribution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70343810720684"/>
          <c:y val="0.2024543655344053"/>
          <c:w val="0.87427371849032842"/>
          <c:h val="0.66206414732139063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Sheet1!$E$34:$E$43</c:f>
              <c:numCache>
                <c:formatCode>General</c:formatCode>
                <c:ptCount val="10"/>
                <c:pt idx="0">
                  <c:v>0.125</c:v>
                </c:pt>
                <c:pt idx="1">
                  <c:v>0.22500000000000003</c:v>
                </c:pt>
                <c:pt idx="2">
                  <c:v>0.15000000000000002</c:v>
                </c:pt>
                <c:pt idx="3">
                  <c:v>0.13500000000000001</c:v>
                </c:pt>
                <c:pt idx="4">
                  <c:v>0.18</c:v>
                </c:pt>
                <c:pt idx="5">
                  <c:v>6.0000000000000019E-2</c:v>
                </c:pt>
                <c:pt idx="6">
                  <c:v>5.3999999999999999E-2</c:v>
                </c:pt>
                <c:pt idx="7">
                  <c:v>5.4000000000000006E-2</c:v>
                </c:pt>
                <c:pt idx="8">
                  <c:v>3.6000000000000011E-2</c:v>
                </c:pt>
                <c:pt idx="9">
                  <c:v>8.0000000000000019E-3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6-4F39-A1D3-D785074C06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78311631"/>
        <c:axId val="1078299631"/>
      </c:barChart>
      <c:catAx>
        <c:axId val="10783116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299631"/>
        <c:crosses val="autoZero"/>
        <c:auto val="1"/>
        <c:lblAlgn val="ctr"/>
        <c:lblOffset val="100"/>
        <c:noMultiLvlLbl val="0"/>
      </c:catAx>
      <c:valAx>
        <c:axId val="107829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31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Possion</a:t>
            </a:r>
            <a:r>
              <a:rPr lang="en-IN" baseline="0"/>
              <a:t>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3.0555555555555555E-2"/>
          <c:y val="0.38132470702308702"/>
          <c:w val="0.93888888888888888"/>
          <c:h val="0.5201953458047043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9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</c:numLit>
          </c:cat>
          <c:val>
            <c:numRef>
              <c:f>Sheet1!$B$58:$B$66</c:f>
              <c:numCache>
                <c:formatCode>General</c:formatCode>
                <c:ptCount val="9"/>
                <c:pt idx="0">
                  <c:v>0.1353352832366127</c:v>
                </c:pt>
                <c:pt idx="1">
                  <c:v>0.27067056647322535</c:v>
                </c:pt>
                <c:pt idx="2">
                  <c:v>0.27067056647322546</c:v>
                </c:pt>
                <c:pt idx="3">
                  <c:v>0.18044704431548364</c:v>
                </c:pt>
                <c:pt idx="4">
                  <c:v>9.022352215774182E-2</c:v>
                </c:pt>
                <c:pt idx="5">
                  <c:v>3.6089408863096716E-2</c:v>
                </c:pt>
                <c:pt idx="6">
                  <c:v>1.2029802954365572E-2</c:v>
                </c:pt>
                <c:pt idx="7">
                  <c:v>3.4370865583901629E-3</c:v>
                </c:pt>
                <c:pt idx="8">
                  <c:v>8.5927163959754148E-4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1-4925-B466-AD3E97A54E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19399055"/>
        <c:axId val="1019388495"/>
      </c:barChart>
      <c:catAx>
        <c:axId val="101939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388495"/>
        <c:crosses val="autoZero"/>
        <c:auto val="1"/>
        <c:lblAlgn val="ctr"/>
        <c:lblOffset val="100"/>
        <c:noMultiLvlLbl val="0"/>
      </c:catAx>
      <c:valAx>
        <c:axId val="10193884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1939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Geometric</a:t>
            </a:r>
            <a:r>
              <a:rPr lang="en-IN" baseline="0"/>
              <a:t>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Sheet2!$C$14:$C$21</c:f>
              <c:numCache>
                <c:formatCode>General</c:formatCode>
                <c:ptCount val="8"/>
                <c:pt idx="0">
                  <c:v>0.2</c:v>
                </c:pt>
                <c:pt idx="1">
                  <c:v>0.16000000000000003</c:v>
                </c:pt>
                <c:pt idx="2">
                  <c:v>0.12800000000000003</c:v>
                </c:pt>
                <c:pt idx="3">
                  <c:v>0.10240000000000003</c:v>
                </c:pt>
                <c:pt idx="4">
                  <c:v>8.1920000000000048E-2</c:v>
                </c:pt>
                <c:pt idx="5">
                  <c:v>6.5536000000000039E-2</c:v>
                </c:pt>
                <c:pt idx="6">
                  <c:v>5.2428800000000032E-2</c:v>
                </c:pt>
                <c:pt idx="7">
                  <c:v>4.1943040000000036E-2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17-40DF-AE03-3E1012E51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123209903"/>
        <c:axId val="1123216623"/>
      </c:barChart>
      <c:catAx>
        <c:axId val="11232099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216623"/>
        <c:crosses val="autoZero"/>
        <c:auto val="1"/>
        <c:lblAlgn val="ctr"/>
        <c:lblOffset val="100"/>
        <c:noMultiLvlLbl val="0"/>
      </c:catAx>
      <c:valAx>
        <c:axId val="112321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20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Uniform</a:t>
            </a:r>
            <a:r>
              <a:rPr lang="en-IN" baseline="0"/>
              <a:t> Dist.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Sheet2!$C$34:$C$36</c:f>
              <c:numCache>
                <c:formatCode>General</c:formatCode>
                <c:ptCount val="3"/>
                <c:pt idx="0">
                  <c:v>0.125</c:v>
                </c:pt>
                <c:pt idx="1">
                  <c:v>0.125</c:v>
                </c:pt>
                <c:pt idx="2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5-45B2-B2F1-FD9AD1F8211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202818303"/>
        <c:axId val="1202819263"/>
      </c:barChart>
      <c:catAx>
        <c:axId val="1202818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819263"/>
        <c:crosses val="autoZero"/>
        <c:auto val="1"/>
        <c:lblAlgn val="ctr"/>
        <c:lblOffset val="100"/>
        <c:noMultiLvlLbl val="0"/>
      </c:catAx>
      <c:valAx>
        <c:axId val="12028192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0281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Expone</a:t>
            </a:r>
            <a:r>
              <a:rPr lang="en-IN" baseline="0"/>
              <a:t>ntial Dist.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Lit>
              <c:formatCode>General</c:formatCode>
              <c:ptCount val="11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</c:numLit>
          </c:cat>
          <c:val>
            <c:numRef>
              <c:f>Sheet2!$C$49:$C$59</c:f>
              <c:numCache>
                <c:formatCode>General</c:formatCode>
                <c:ptCount val="11"/>
                <c:pt idx="0">
                  <c:v>0.2</c:v>
                </c:pt>
                <c:pt idx="1">
                  <c:v>0.16374615061559639</c:v>
                </c:pt>
                <c:pt idx="2">
                  <c:v>0.13406400920712788</c:v>
                </c:pt>
                <c:pt idx="3">
                  <c:v>0.10976232721880529</c:v>
                </c:pt>
                <c:pt idx="4">
                  <c:v>8.9865792823444313E-2</c:v>
                </c:pt>
                <c:pt idx="5">
                  <c:v>7.357588823428847E-2</c:v>
                </c:pt>
                <c:pt idx="6">
                  <c:v>6.0238842382440407E-2</c:v>
                </c:pt>
                <c:pt idx="7">
                  <c:v>4.9319392788321287E-2</c:v>
                </c:pt>
                <c:pt idx="8">
                  <c:v>4.0379303598931077E-2</c:v>
                </c:pt>
                <c:pt idx="9">
                  <c:v>3.3059777644317306E-2</c:v>
                </c:pt>
                <c:pt idx="10">
                  <c:v>2.7067056647322542E-2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D6-47B7-B2C6-9625A4B5B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7534111"/>
        <c:axId val="787534591"/>
      </c:lineChart>
      <c:catAx>
        <c:axId val="78753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534591"/>
        <c:crosses val="autoZero"/>
        <c:auto val="1"/>
        <c:lblAlgn val="ctr"/>
        <c:lblOffset val="100"/>
        <c:noMultiLvlLbl val="0"/>
      </c:catAx>
      <c:valAx>
        <c:axId val="787534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534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NORMAL</a:t>
            </a:r>
            <a:r>
              <a:rPr lang="en-IN" baseline="0"/>
              <a:t>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Sheet2!$B$77:$B$85</c:f>
              <c:numCache>
                <c:formatCode>General</c:formatCode>
                <c:ptCount val="9"/>
                <c:pt idx="0">
                  <c:v>245</c:v>
                </c:pt>
                <c:pt idx="1">
                  <c:v>246</c:v>
                </c:pt>
                <c:pt idx="2">
                  <c:v>247</c:v>
                </c:pt>
                <c:pt idx="3">
                  <c:v>248</c:v>
                </c:pt>
                <c:pt idx="4">
                  <c:v>249</c:v>
                </c:pt>
                <c:pt idx="5">
                  <c:v>250</c:v>
                </c:pt>
                <c:pt idx="6">
                  <c:v>251</c:v>
                </c:pt>
                <c:pt idx="7">
                  <c:v>252</c:v>
                </c:pt>
                <c:pt idx="8">
                  <c:v>253</c:v>
                </c:pt>
              </c:numCache>
            </c:numRef>
          </c:xVal>
          <c:yVal>
            <c:numRef>
              <c:f>Sheet2!$C$77:$C$85</c:f>
              <c:numCache>
                <c:formatCode>General</c:formatCode>
                <c:ptCount val="9"/>
                <c:pt idx="0">
                  <c:v>5.1667463385230176E-3</c:v>
                </c:pt>
                <c:pt idx="1">
                  <c:v>2.9732572305907361E-2</c:v>
                </c:pt>
                <c:pt idx="2">
                  <c:v>0.10377687435514869</c:v>
                </c:pt>
                <c:pt idx="3">
                  <c:v>0.21969564473386119</c:v>
                </c:pt>
                <c:pt idx="4">
                  <c:v>0.28209479177387814</c:v>
                </c:pt>
                <c:pt idx="5">
                  <c:v>0.21969564473386119</c:v>
                </c:pt>
                <c:pt idx="6">
                  <c:v>0.10377687435514869</c:v>
                </c:pt>
                <c:pt idx="7">
                  <c:v>2.9732572305907361E-2</c:v>
                </c:pt>
                <c:pt idx="8">
                  <c:v>5.1667463385230176E-3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A4-435D-B35A-FA33CCA4B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1129375"/>
        <c:axId val="1081129855"/>
      </c:scatterChart>
      <c:valAx>
        <c:axId val="1081129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129855"/>
        <c:crosses val="autoZero"/>
        <c:crossBetween val="midCat"/>
      </c:valAx>
      <c:valAx>
        <c:axId val="108112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129375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Sheet4!$D$9</c:f>
              <c:strCache>
                <c:ptCount val="1"/>
                <c:pt idx="0">
                  <c:v>customers (y)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Sheet4!$C$10:$C$14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xVal>
          <c:yVal>
            <c:numRef>
              <c:f>Sheet4!$D$10:$D$14</c:f>
              <c:numCache>
                <c:formatCode>General</c:formatCode>
                <c:ptCount val="5"/>
                <c:pt idx="0">
                  <c:v>210</c:v>
                </c:pt>
                <c:pt idx="1">
                  <c:v>350</c:v>
                </c:pt>
                <c:pt idx="2">
                  <c:v>310</c:v>
                </c:pt>
                <c:pt idx="3">
                  <c:v>520</c:v>
                </c:pt>
                <c:pt idx="4">
                  <c:v>560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8C-4F57-802C-9CDE8F087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575471"/>
        <c:axId val="479571151"/>
      </c:scatterChart>
      <c:valAx>
        <c:axId val="47957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71151"/>
        <c:crosses val="autoZero"/>
        <c:crossBetween val="midCat"/>
      </c:valAx>
      <c:valAx>
        <c:axId val="47957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75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val>
            <c:numRef>
              <c:f>Sheet4!$C$30:$C$34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8-4AEB-A120-D82D2D84E15F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val>
            <c:numRef>
              <c:f>Sheet4!$D$30:$D$34</c:f>
              <c:numCache>
                <c:formatCode>General</c:formatCode>
                <c:ptCount val="5"/>
                <c:pt idx="0">
                  <c:v>65</c:v>
                </c:pt>
                <c:pt idx="1">
                  <c:v>72</c:v>
                </c:pt>
                <c:pt idx="2">
                  <c:v>80</c:v>
                </c:pt>
                <c:pt idx="3">
                  <c:v>85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A8-4AEB-A120-D82D2D84E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489675295"/>
        <c:axId val="489658975"/>
        <c:axId val="0"/>
      </c:bar3DChart>
      <c:catAx>
        <c:axId val="48967529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58975"/>
        <c:crosses val="autoZero"/>
        <c:auto val="1"/>
        <c:lblAlgn val="ctr"/>
        <c:lblOffset val="100"/>
        <c:noMultiLvlLbl val="0"/>
      </c:catAx>
      <c:valAx>
        <c:axId val="489658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7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Sheet5!$B$8:$E$13</c15:sqref>
                  </c15:fullRef>
                  <c15:levelRef>
                    <c15:sqref>Sheet5!$B$8:$B$13</c15:sqref>
                  </c15:levelRef>
                </c:ext>
              </c:extLst>
              <c:f>Sheet5!$B$8:$B$13</c:f>
              <c:strCache>
                <c:ptCount val="6"/>
                <c:pt idx="0">
                  <c:v>Distributions </c:v>
                </c:pt>
                <c:pt idx="1">
                  <c:v>Bernoulli</c:v>
                </c:pt>
                <c:pt idx="2">
                  <c:v>Binomial</c:v>
                </c:pt>
                <c:pt idx="3">
                  <c:v>Poisson</c:v>
                </c:pt>
                <c:pt idx="4">
                  <c:v>Const. Uniform</c:v>
                </c:pt>
                <c:pt idx="5">
                  <c:v>Normal</c:v>
                </c:pt>
              </c:strCache>
            </c:strRef>
          </c:cat>
          <c:val>
            <c:numRef>
              <c:f>Sheet5!$F$8:$F$13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8</c:v>
                </c:pt>
                <c:pt idx="3">
                  <c:v>2</c:v>
                </c:pt>
                <c:pt idx="4">
                  <c:v>40.382873761297645</c:v>
                </c:pt>
                <c:pt idx="5">
                  <c:v>119.29257257026299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E-41E8-9330-F0AD2DA144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570992591"/>
        <c:axId val="570992111"/>
      </c:barChart>
      <c:catAx>
        <c:axId val="57099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992111"/>
        <c:crosses val="autoZero"/>
        <c:auto val="1"/>
        <c:lblAlgn val="ctr"/>
        <c:lblOffset val="100"/>
        <c:noMultiLvlLbl val="0"/>
      </c:catAx>
      <c:valAx>
        <c:axId val="57099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992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9</xdr:row>
      <xdr:rowOff>175260</xdr:rowOff>
    </xdr:from>
    <xdr:to>
      <xdr:col>10</xdr:col>
      <xdr:colOff>274320</xdr:colOff>
      <xdr:row>22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9CA452-9A67-CA44-3079-058683A12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95250</xdr:colOff>
      <xdr:row>31</xdr:row>
      <xdr:rowOff>76200</xdr:rowOff>
    </xdr:from>
    <xdr:to>
      <xdr:col>13</xdr:col>
      <xdr:colOff>53340</xdr:colOff>
      <xdr:row>44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493302-A483-07E7-36C8-6FD2EAA8D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285750</xdr:colOff>
      <xdr:row>53</xdr:row>
      <xdr:rowOff>7620</xdr:rowOff>
    </xdr:from>
    <xdr:to>
      <xdr:col>10</xdr:col>
      <xdr:colOff>243840</xdr:colOff>
      <xdr:row>66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E20255-A46D-A844-B5D1-354A4B236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</xdr:colOff>
      <xdr:row>10</xdr:row>
      <xdr:rowOff>160020</xdr:rowOff>
    </xdr:from>
    <xdr:to>
      <xdr:col>11</xdr:col>
      <xdr:colOff>160020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6A34F9-B2A8-8080-E0B7-312571B580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350520</xdr:colOff>
      <xdr:row>28</xdr:row>
      <xdr:rowOff>7620</xdr:rowOff>
    </xdr:from>
    <xdr:to>
      <xdr:col>10</xdr:col>
      <xdr:colOff>266700</xdr:colOff>
      <xdr:row>38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BEF4AC-2625-530B-4D5E-83896C339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41910</xdr:colOff>
      <xdr:row>48</xdr:row>
      <xdr:rowOff>22860</xdr:rowOff>
    </xdr:from>
    <xdr:to>
      <xdr:col>11</xdr:col>
      <xdr:colOff>160020</xdr:colOff>
      <xdr:row>60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FB92AC-E9CD-8073-111A-431F445A54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255270</xdr:colOff>
      <xdr:row>72</xdr:row>
      <xdr:rowOff>53340</xdr:rowOff>
    </xdr:from>
    <xdr:to>
      <xdr:col>9</xdr:col>
      <xdr:colOff>289560</xdr:colOff>
      <xdr:row>85</xdr:row>
      <xdr:rowOff>3810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4401DC-B53B-CD07-BAAD-A03E90311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</xdr:colOff>
      <xdr:row>10</xdr:row>
      <xdr:rowOff>15240</xdr:rowOff>
    </xdr:from>
    <xdr:to>
      <xdr:col>9</xdr:col>
      <xdr:colOff>30480</xdr:colOff>
      <xdr:row>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18B822-9DB3-80C9-4E16-BB5BADFC87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91440</xdr:colOff>
      <xdr:row>27</xdr:row>
      <xdr:rowOff>53340</xdr:rowOff>
    </xdr:from>
    <xdr:to>
      <xdr:col>8</xdr:col>
      <xdr:colOff>312420</xdr:colOff>
      <xdr:row>36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E49D78-2EEC-A74C-CD48-3CEEF195A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396240</xdr:colOff>
      <xdr:row>13</xdr:row>
      <xdr:rowOff>22860</xdr:rowOff>
    </xdr:from>
    <xdr:to>
      <xdr:col>6</xdr:col>
      <xdr:colOff>533400</xdr:colOff>
      <xdr:row>25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358431-615F-276E-96BB-7E68371F63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162A-AD66-4069-80C3-F5E603056C1A}">
  <dimension ref="A1:F66"/>
  <sheetViews>
    <sheetView workbookViewId="0">
      <selection activeCell="D51" sqref="D51"/>
    </sheetView>
  </sheetViews>
  <sheetFormatPr defaultRowHeight="14.4"/>
  <cols>
    <col min="1" max="1" width="11.6640625" customWidth="1"/>
    <col min="2" max="2" width="15.6640625" customWidth="1"/>
    <col min="3" max="3" width="18.33203125" customWidth="1"/>
    <col min="4" max="4" width="13.88671875" customWidth="1"/>
    <col min="6" max="6" width="13.33203125" customWidth="1"/>
  </cols>
  <sheetData>
    <row r="1" spans="1:4" ht="36" customHeight="1">
      <c r="A1" s="8" t="s">
        <v>0</v>
      </c>
      <c r="B1" s="8" t="s">
        <v>1</v>
      </c>
      <c r="C1" s="8"/>
      <c r="D1" s="8" t="s">
        <v>2</v>
      </c>
    </row>
    <row r="2" spans="1:4" ht="40.950000000000003" customHeight="1">
      <c r="A2" s="8" t="s">
        <v>3</v>
      </c>
      <c r="B2" s="8" t="s">
        <v>4</v>
      </c>
      <c r="C2" s="8"/>
      <c r="D2" s="8" t="s">
        <v>5</v>
      </c>
    </row>
    <row r="3" spans="1:4" ht="21.6" customHeight="1">
      <c r="A3" s="19">
        <v>1</v>
      </c>
      <c r="B3" s="19" t="s">
        <v>152</v>
      </c>
    </row>
    <row r="4" spans="1:4" ht="15.6">
      <c r="A4" s="19"/>
      <c r="B4" s="19" t="s">
        <v>6</v>
      </c>
    </row>
    <row r="6" spans="1:4">
      <c r="B6" s="1" t="s">
        <v>7</v>
      </c>
    </row>
    <row r="7" spans="1:4">
      <c r="B7" s="1" t="s">
        <v>8</v>
      </c>
    </row>
    <row r="8" spans="1:4">
      <c r="B8" s="1" t="s">
        <v>9</v>
      </c>
    </row>
    <row r="9" spans="1:4" ht="25.2" customHeight="1">
      <c r="B9" s="1"/>
    </row>
    <row r="10" spans="1:4" ht="27" customHeight="1">
      <c r="B10" s="1"/>
    </row>
    <row r="11" spans="1:4">
      <c r="A11" s="23" t="s">
        <v>10</v>
      </c>
      <c r="B11" s="27">
        <v>50</v>
      </c>
    </row>
    <row r="12" spans="1:4">
      <c r="A12" s="23" t="s">
        <v>11</v>
      </c>
      <c r="B12" s="23">
        <v>0.08</v>
      </c>
    </row>
    <row r="13" spans="1:4">
      <c r="A13" s="23" t="s">
        <v>12</v>
      </c>
      <c r="B13" s="23">
        <v>500</v>
      </c>
    </row>
    <row r="15" spans="1:4">
      <c r="A15" s="10" t="s">
        <v>13</v>
      </c>
      <c r="B15" s="10" t="s">
        <v>14</v>
      </c>
      <c r="C15" s="10" t="s">
        <v>15</v>
      </c>
    </row>
    <row r="16" spans="1:4">
      <c r="A16" s="10">
        <v>0</v>
      </c>
      <c r="B16" s="10">
        <f>_xlfn.BINOM.DIST(A16, $B$11, $B$12, FALSE)</f>
        <v>1.5466475831843464E-2</v>
      </c>
      <c r="C16" s="10">
        <f>B16*$B$13</f>
        <v>7.7332379159217322</v>
      </c>
    </row>
    <row r="17" spans="1:3">
      <c r="A17" s="10">
        <v>1</v>
      </c>
      <c r="B17" s="10">
        <f t="shared" ref="B17:B21" si="0">_xlfn.BINOM.DIST(A17, $B$11, $B$12, FALSE)</f>
        <v>6.7245547094971575E-2</v>
      </c>
      <c r="C17" s="10">
        <f t="shared" ref="C17:C21" si="1">B17*$B$13</f>
        <v>33.622773547485785</v>
      </c>
    </row>
    <row r="18" spans="1:3">
      <c r="A18" s="10">
        <v>2</v>
      </c>
      <c r="B18" s="10">
        <f t="shared" si="0"/>
        <v>0.14326225250667859</v>
      </c>
      <c r="C18" s="10">
        <f t="shared" si="1"/>
        <v>71.631126253339303</v>
      </c>
    </row>
    <row r="19" spans="1:3">
      <c r="A19" s="10">
        <v>3</v>
      </c>
      <c r="B19" s="10">
        <f t="shared" si="0"/>
        <v>0.1993213947919007</v>
      </c>
      <c r="C19" s="10">
        <f t="shared" si="1"/>
        <v>99.660697395950351</v>
      </c>
    </row>
    <row r="20" spans="1:3">
      <c r="A20" s="10">
        <v>4</v>
      </c>
      <c r="B20" s="10">
        <f t="shared" si="0"/>
        <v>0.20365446859172465</v>
      </c>
      <c r="C20" s="10">
        <f t="shared" si="1"/>
        <v>101.82723429586233</v>
      </c>
    </row>
    <row r="21" spans="1:3">
      <c r="A21" s="10">
        <v>5</v>
      </c>
      <c r="B21" s="10">
        <f t="shared" si="0"/>
        <v>0.16292357487337975</v>
      </c>
      <c r="C21" s="10">
        <f t="shared" si="1"/>
        <v>81.461787436689875</v>
      </c>
    </row>
    <row r="23" spans="1:3" ht="43.2" customHeight="1"/>
    <row r="24" spans="1:3" ht="15.6">
      <c r="A24" s="19">
        <v>2</v>
      </c>
      <c r="B24" s="19" t="s">
        <v>153</v>
      </c>
      <c r="C24" s="19"/>
    </row>
    <row r="25" spans="1:3" ht="15.6">
      <c r="A25" s="19"/>
      <c r="B25" s="19" t="s">
        <v>154</v>
      </c>
      <c r="C25" s="19"/>
    </row>
    <row r="26" spans="1:3" ht="22.95" customHeight="1"/>
    <row r="27" spans="1:3">
      <c r="A27" s="10" t="s">
        <v>16</v>
      </c>
      <c r="B27" s="10">
        <v>3</v>
      </c>
    </row>
    <row r="28" spans="1:3">
      <c r="A28" s="10" t="s">
        <v>17</v>
      </c>
      <c r="B28" s="10">
        <v>0.5</v>
      </c>
    </row>
    <row r="29" spans="1:3">
      <c r="A29" s="10" t="s">
        <v>18</v>
      </c>
      <c r="B29" s="10">
        <v>0.3</v>
      </c>
    </row>
    <row r="30" spans="1:3">
      <c r="A30" s="10" t="s">
        <v>19</v>
      </c>
      <c r="B30" s="10">
        <v>0.2</v>
      </c>
    </row>
    <row r="31" spans="1:3">
      <c r="A31" s="10" t="s">
        <v>20</v>
      </c>
      <c r="B31" s="10">
        <v>100</v>
      </c>
    </row>
    <row r="33" spans="2:6">
      <c r="B33" s="10" t="s">
        <v>21</v>
      </c>
      <c r="C33" s="10" t="s">
        <v>22</v>
      </c>
      <c r="D33" s="10" t="s">
        <v>23</v>
      </c>
      <c r="E33" s="10" t="s">
        <v>24</v>
      </c>
      <c r="F33" s="10" t="s">
        <v>25</v>
      </c>
    </row>
    <row r="34" spans="2:6">
      <c r="B34" s="10">
        <v>3</v>
      </c>
      <c r="C34" s="10">
        <v>0</v>
      </c>
      <c r="D34" s="10">
        <v>0</v>
      </c>
      <c r="E34" s="10">
        <f>MULTINOMIAL(B34, C34, D34) * ($B$28^B34) * ($B$29^C34) * ($B$30^D34)</f>
        <v>0.125</v>
      </c>
      <c r="F34" s="10">
        <f>E34 * $B$31</f>
        <v>12.5</v>
      </c>
    </row>
    <row r="35" spans="2:6">
      <c r="B35" s="10">
        <v>2</v>
      </c>
      <c r="C35" s="10">
        <v>1</v>
      </c>
      <c r="D35" s="10">
        <v>0</v>
      </c>
      <c r="E35" s="10">
        <f t="shared" ref="E35:E43" si="2">MULTINOMIAL(B35, C35, D35) * ($B$28^B35) * ($B$29^C35) * ($B$30^D35)</f>
        <v>0.22500000000000003</v>
      </c>
      <c r="F35" s="10">
        <f t="shared" ref="F35:F43" si="3">E35 * $B$31</f>
        <v>22.500000000000004</v>
      </c>
    </row>
    <row r="36" spans="2:6">
      <c r="B36" s="10">
        <v>2</v>
      </c>
      <c r="C36" s="10">
        <v>0</v>
      </c>
      <c r="D36" s="10">
        <v>1</v>
      </c>
      <c r="E36" s="10">
        <f t="shared" si="2"/>
        <v>0.15000000000000002</v>
      </c>
      <c r="F36" s="10">
        <f t="shared" si="3"/>
        <v>15.000000000000002</v>
      </c>
    </row>
    <row r="37" spans="2:6">
      <c r="B37" s="10">
        <v>1</v>
      </c>
      <c r="C37" s="10">
        <v>2</v>
      </c>
      <c r="D37" s="10">
        <v>0</v>
      </c>
      <c r="E37" s="10">
        <f t="shared" si="2"/>
        <v>0.13500000000000001</v>
      </c>
      <c r="F37" s="10">
        <f t="shared" si="3"/>
        <v>13.5</v>
      </c>
    </row>
    <row r="38" spans="2:6">
      <c r="B38" s="10">
        <v>2</v>
      </c>
      <c r="C38" s="10">
        <v>1</v>
      </c>
      <c r="D38" s="10">
        <v>1</v>
      </c>
      <c r="E38" s="10">
        <f t="shared" si="2"/>
        <v>0.18</v>
      </c>
      <c r="F38" s="10">
        <f t="shared" si="3"/>
        <v>18</v>
      </c>
    </row>
    <row r="39" spans="2:6">
      <c r="B39" s="10">
        <v>1</v>
      </c>
      <c r="C39" s="10">
        <v>0</v>
      </c>
      <c r="D39" s="10">
        <v>2</v>
      </c>
      <c r="E39" s="10">
        <f t="shared" si="2"/>
        <v>6.0000000000000019E-2</v>
      </c>
      <c r="F39" s="10">
        <f t="shared" si="3"/>
        <v>6.0000000000000018</v>
      </c>
    </row>
    <row r="40" spans="2:6">
      <c r="B40" s="10">
        <v>1</v>
      </c>
      <c r="C40" s="10">
        <v>3</v>
      </c>
      <c r="D40" s="10">
        <v>0</v>
      </c>
      <c r="E40" s="10">
        <f t="shared" si="2"/>
        <v>5.3999999999999999E-2</v>
      </c>
      <c r="F40" s="10">
        <f t="shared" si="3"/>
        <v>5.4</v>
      </c>
    </row>
    <row r="41" spans="2:6">
      <c r="B41" s="10">
        <v>0</v>
      </c>
      <c r="C41" s="10">
        <v>2</v>
      </c>
      <c r="D41" s="10">
        <v>1</v>
      </c>
      <c r="E41" s="10">
        <f t="shared" si="2"/>
        <v>5.4000000000000006E-2</v>
      </c>
      <c r="F41" s="10">
        <f t="shared" si="3"/>
        <v>5.4</v>
      </c>
    </row>
    <row r="42" spans="2:6">
      <c r="B42" s="10">
        <v>0</v>
      </c>
      <c r="C42" s="10">
        <v>1</v>
      </c>
      <c r="D42" s="10">
        <v>2</v>
      </c>
      <c r="E42" s="10">
        <f t="shared" si="2"/>
        <v>3.6000000000000011E-2</v>
      </c>
      <c r="F42" s="10">
        <f t="shared" si="3"/>
        <v>3.600000000000001</v>
      </c>
    </row>
    <row r="43" spans="2:6">
      <c r="B43" s="10">
        <v>0</v>
      </c>
      <c r="C43" s="10">
        <v>0</v>
      </c>
      <c r="D43" s="10">
        <v>3</v>
      </c>
      <c r="E43" s="10">
        <f t="shared" si="2"/>
        <v>8.0000000000000019E-3</v>
      </c>
      <c r="F43" s="10">
        <f t="shared" si="3"/>
        <v>0.80000000000000016</v>
      </c>
    </row>
    <row r="49" spans="1:4" ht="15.6">
      <c r="A49" s="19">
        <v>3</v>
      </c>
      <c r="B49" s="28" t="s">
        <v>155</v>
      </c>
    </row>
    <row r="50" spans="1:4" ht="15.6">
      <c r="A50" s="19"/>
      <c r="B50" s="19"/>
    </row>
    <row r="51" spans="1:4" ht="15.6">
      <c r="A51" s="19"/>
      <c r="B51" s="28" t="s">
        <v>156</v>
      </c>
      <c r="D51" t="s">
        <v>157</v>
      </c>
    </row>
    <row r="54" spans="1:4">
      <c r="A54" s="9" t="s">
        <v>26</v>
      </c>
      <c r="B54" s="9">
        <v>2</v>
      </c>
    </row>
    <row r="55" spans="1:4">
      <c r="A55" s="9" t="s">
        <v>20</v>
      </c>
      <c r="B55" s="9">
        <v>100</v>
      </c>
    </row>
    <row r="57" spans="1:4">
      <c r="A57" s="11" t="s">
        <v>27</v>
      </c>
      <c r="B57" s="11" t="s">
        <v>28</v>
      </c>
      <c r="C57" s="11" t="s">
        <v>29</v>
      </c>
    </row>
    <row r="58" spans="1:4">
      <c r="A58" s="11">
        <v>0</v>
      </c>
      <c r="B58" s="11">
        <f>_xlfn.POISSON.DIST(A58, $B$54, FALSE)</f>
        <v>0.1353352832366127</v>
      </c>
      <c r="C58" s="11">
        <f>B58*$B$55</f>
        <v>13.533528323661271</v>
      </c>
    </row>
    <row r="59" spans="1:4">
      <c r="A59" s="11">
        <v>1</v>
      </c>
      <c r="B59" s="11">
        <f t="shared" ref="B59:B66" si="4">_xlfn.POISSON.DIST(A59, $B$54, FALSE)</f>
        <v>0.27067056647322535</v>
      </c>
      <c r="C59" s="11">
        <f t="shared" ref="C59:C66" si="5">B59*$B$55</f>
        <v>27.067056647322534</v>
      </c>
    </row>
    <row r="60" spans="1:4">
      <c r="A60" s="11">
        <v>2</v>
      </c>
      <c r="B60" s="11">
        <f t="shared" si="4"/>
        <v>0.27067056647322546</v>
      </c>
      <c r="C60" s="11">
        <f t="shared" si="5"/>
        <v>27.067056647322545</v>
      </c>
    </row>
    <row r="61" spans="1:4">
      <c r="A61" s="11">
        <v>3</v>
      </c>
      <c r="B61" s="11">
        <f t="shared" si="4"/>
        <v>0.18044704431548364</v>
      </c>
      <c r="C61" s="11">
        <f t="shared" si="5"/>
        <v>18.044704431548364</v>
      </c>
    </row>
    <row r="62" spans="1:4">
      <c r="A62" s="11">
        <v>4</v>
      </c>
      <c r="B62" s="11">
        <f t="shared" si="4"/>
        <v>9.022352215774182E-2</v>
      </c>
      <c r="C62" s="11">
        <f t="shared" si="5"/>
        <v>9.0223522157741822</v>
      </c>
    </row>
    <row r="63" spans="1:4">
      <c r="A63" s="11">
        <v>5</v>
      </c>
      <c r="B63" s="11">
        <f t="shared" si="4"/>
        <v>3.6089408863096716E-2</v>
      </c>
      <c r="C63" s="11">
        <f t="shared" si="5"/>
        <v>3.6089408863096715</v>
      </c>
    </row>
    <row r="64" spans="1:4">
      <c r="A64" s="11">
        <v>6</v>
      </c>
      <c r="B64" s="11">
        <f t="shared" si="4"/>
        <v>1.2029802954365572E-2</v>
      </c>
      <c r="C64" s="11">
        <f t="shared" si="5"/>
        <v>1.2029802954365572</v>
      </c>
    </row>
    <row r="65" spans="1:3">
      <c r="A65" s="11">
        <v>7</v>
      </c>
      <c r="B65" s="11">
        <f t="shared" si="4"/>
        <v>3.4370865583901629E-3</v>
      </c>
      <c r="C65" s="11">
        <f t="shared" si="5"/>
        <v>0.34370865583901627</v>
      </c>
    </row>
    <row r="66" spans="1:3">
      <c r="A66" s="11">
        <v>8</v>
      </c>
      <c r="B66" s="11">
        <f t="shared" si="4"/>
        <v>8.5927163959754148E-4</v>
      </c>
      <c r="C66" s="11">
        <f t="shared" si="5"/>
        <v>8.5927163959754152E-2</v>
      </c>
    </row>
  </sheetData>
  <conditionalFormatting sqref="B16:C2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8:C6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4:F34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4:F4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544DD-A385-4C42-ACA4-87991060206F}">
  <dimension ref="A1:D85"/>
  <sheetViews>
    <sheetView workbookViewId="0">
      <selection activeCell="E94" sqref="E94"/>
    </sheetView>
  </sheetViews>
  <sheetFormatPr defaultRowHeight="14.4"/>
  <cols>
    <col min="1" max="1" width="11.44140625" customWidth="1"/>
    <col min="2" max="2" width="14.88671875" customWidth="1"/>
    <col min="3" max="3" width="12.5546875" customWidth="1"/>
    <col min="4" max="4" width="18.88671875" customWidth="1"/>
  </cols>
  <sheetData>
    <row r="1" spans="1:4" ht="41.4" customHeight="1">
      <c r="A1" s="11" t="s">
        <v>0</v>
      </c>
      <c r="B1" s="11" t="s">
        <v>1</v>
      </c>
      <c r="C1" s="11"/>
      <c r="D1" s="11" t="s">
        <v>30</v>
      </c>
    </row>
    <row r="2" spans="1:4" ht="42.6" customHeight="1">
      <c r="A2" s="11" t="s">
        <v>3</v>
      </c>
      <c r="B2" s="11" t="s">
        <v>4</v>
      </c>
      <c r="C2" s="11"/>
      <c r="D2" s="11" t="s">
        <v>31</v>
      </c>
    </row>
    <row r="5" spans="1:4">
      <c r="A5">
        <v>4</v>
      </c>
      <c r="B5" s="3" t="s">
        <v>32</v>
      </c>
    </row>
    <row r="6" spans="1:4">
      <c r="B6" s="1"/>
    </row>
    <row r="7" spans="1:4">
      <c r="B7" s="3" t="s">
        <v>33</v>
      </c>
    </row>
    <row r="10" spans="1:4">
      <c r="A10" s="9" t="s">
        <v>34</v>
      </c>
      <c r="B10" s="9">
        <v>0.2</v>
      </c>
    </row>
    <row r="11" spans="1:4">
      <c r="A11" s="9" t="s">
        <v>20</v>
      </c>
      <c r="B11" s="9">
        <v>100</v>
      </c>
    </row>
    <row r="13" spans="1:4">
      <c r="B13" s="11" t="s">
        <v>35</v>
      </c>
      <c r="C13" s="11" t="s">
        <v>24</v>
      </c>
      <c r="D13" s="11" t="s">
        <v>29</v>
      </c>
    </row>
    <row r="14" spans="1:4">
      <c r="B14" s="11">
        <v>1</v>
      </c>
      <c r="C14" s="11">
        <f>$B$10 * (1 - $B$10)^(B14 - 1)</f>
        <v>0.2</v>
      </c>
      <c r="D14" s="11">
        <f>C14*$B$11</f>
        <v>20</v>
      </c>
    </row>
    <row r="15" spans="1:4">
      <c r="B15" s="11">
        <v>2</v>
      </c>
      <c r="C15" s="11">
        <f t="shared" ref="C15:C21" si="0">$B$10 * (1 - $B$10)^(B15 - 1)</f>
        <v>0.16000000000000003</v>
      </c>
      <c r="D15" s="11">
        <f t="shared" ref="D15:D21" si="1">C15*$B$11</f>
        <v>16.000000000000004</v>
      </c>
    </row>
    <row r="16" spans="1:4">
      <c r="B16" s="11">
        <v>3</v>
      </c>
      <c r="C16" s="11">
        <f t="shared" si="0"/>
        <v>0.12800000000000003</v>
      </c>
      <c r="D16" s="11">
        <f t="shared" si="1"/>
        <v>12.800000000000002</v>
      </c>
    </row>
    <row r="17" spans="1:4">
      <c r="B17" s="11">
        <v>4</v>
      </c>
      <c r="C17" s="11">
        <f t="shared" si="0"/>
        <v>0.10240000000000003</v>
      </c>
      <c r="D17" s="11">
        <f t="shared" si="1"/>
        <v>10.240000000000004</v>
      </c>
    </row>
    <row r="18" spans="1:4">
      <c r="B18" s="11">
        <v>5</v>
      </c>
      <c r="C18" s="11">
        <f t="shared" si="0"/>
        <v>8.1920000000000048E-2</v>
      </c>
      <c r="D18" s="11">
        <f t="shared" si="1"/>
        <v>8.1920000000000055</v>
      </c>
    </row>
    <row r="19" spans="1:4">
      <c r="B19" s="11">
        <v>6</v>
      </c>
      <c r="C19" s="11">
        <f t="shared" si="0"/>
        <v>6.5536000000000039E-2</v>
      </c>
      <c r="D19" s="11">
        <f t="shared" si="1"/>
        <v>6.5536000000000039</v>
      </c>
    </row>
    <row r="20" spans="1:4">
      <c r="B20" s="11">
        <v>7</v>
      </c>
      <c r="C20" s="11">
        <f t="shared" si="0"/>
        <v>5.2428800000000032E-2</v>
      </c>
      <c r="D20" s="11">
        <f t="shared" si="1"/>
        <v>5.2428800000000031</v>
      </c>
    </row>
    <row r="21" spans="1:4">
      <c r="B21" s="11">
        <v>8</v>
      </c>
      <c r="C21" s="11">
        <f t="shared" si="0"/>
        <v>4.1943040000000036E-2</v>
      </c>
      <c r="D21" s="11">
        <f t="shared" si="1"/>
        <v>4.1943040000000034</v>
      </c>
    </row>
    <row r="22" spans="1:4" ht="15" customHeight="1"/>
    <row r="23" spans="1:4" ht="29.4" customHeight="1"/>
    <row r="24" spans="1:4" ht="30" customHeight="1"/>
    <row r="25" spans="1:4">
      <c r="A25">
        <v>5</v>
      </c>
      <c r="B25" t="s">
        <v>36</v>
      </c>
    </row>
    <row r="27" spans="1:4">
      <c r="B27" t="s">
        <v>37</v>
      </c>
    </row>
    <row r="30" spans="1:4">
      <c r="A30" s="13" t="s">
        <v>38</v>
      </c>
      <c r="B30" s="13">
        <v>8</v>
      </c>
    </row>
    <row r="31" spans="1:4">
      <c r="A31" s="13" t="s">
        <v>39</v>
      </c>
      <c r="B31" s="13">
        <v>160</v>
      </c>
    </row>
    <row r="33" spans="1:4">
      <c r="B33" s="11" t="s">
        <v>35</v>
      </c>
      <c r="C33" s="11" t="s">
        <v>40</v>
      </c>
      <c r="D33" s="11" t="s">
        <v>41</v>
      </c>
    </row>
    <row r="34" spans="1:4">
      <c r="B34" s="11">
        <v>1</v>
      </c>
      <c r="C34" s="14">
        <f>1 / $B$30</f>
        <v>0.125</v>
      </c>
      <c r="D34" s="11">
        <f>C34 * $B$31</f>
        <v>20</v>
      </c>
    </row>
    <row r="35" spans="1:4">
      <c r="B35" s="11">
        <v>2</v>
      </c>
      <c r="C35" s="14">
        <f t="shared" ref="C35:C36" si="2">1 / $B$30</f>
        <v>0.125</v>
      </c>
      <c r="D35" s="11">
        <f t="shared" ref="D35:D36" si="3">C35 * $B$31</f>
        <v>20</v>
      </c>
    </row>
    <row r="36" spans="1:4">
      <c r="B36" s="11">
        <v>3</v>
      </c>
      <c r="C36" s="14">
        <f t="shared" si="2"/>
        <v>0.125</v>
      </c>
      <c r="D36" s="11">
        <f t="shared" si="3"/>
        <v>20</v>
      </c>
    </row>
    <row r="39" spans="1:4" ht="29.4" customHeight="1"/>
    <row r="40" spans="1:4" ht="29.4" customHeight="1"/>
    <row r="41" spans="1:4">
      <c r="A41">
        <v>6</v>
      </c>
      <c r="B41" s="3" t="s">
        <v>42</v>
      </c>
    </row>
    <row r="42" spans="1:4">
      <c r="B42" s="1"/>
    </row>
    <row r="43" spans="1:4">
      <c r="B43" s="3" t="s">
        <v>43</v>
      </c>
    </row>
    <row r="46" spans="1:4">
      <c r="A46" s="9" t="s">
        <v>44</v>
      </c>
      <c r="B46" s="9">
        <v>0.2</v>
      </c>
    </row>
    <row r="48" spans="1:4">
      <c r="B48" s="11" t="s">
        <v>45</v>
      </c>
      <c r="C48" s="11" t="s">
        <v>46</v>
      </c>
      <c r="D48" s="11" t="s">
        <v>47</v>
      </c>
    </row>
    <row r="49" spans="1:4">
      <c r="B49" s="11">
        <v>0</v>
      </c>
      <c r="C49" s="11">
        <f>_xlfn.EXPON.DIST(B49, $B$46, FALSE)</f>
        <v>0.2</v>
      </c>
      <c r="D49" s="11">
        <f>_xlfn.EXPON.DIST(B49, $B$46, TRUE)</f>
        <v>0</v>
      </c>
    </row>
    <row r="50" spans="1:4">
      <c r="B50" s="11">
        <v>1</v>
      </c>
      <c r="C50" s="11">
        <f t="shared" ref="C50:C59" si="4">_xlfn.EXPON.DIST(B50, $B$46, FALSE)</f>
        <v>0.16374615061559639</v>
      </c>
      <c r="D50" s="11">
        <f t="shared" ref="D50:D59" si="5">_xlfn.EXPON.DIST(B50, $B$46, TRUE)</f>
        <v>0.18126924692201815</v>
      </c>
    </row>
    <row r="51" spans="1:4">
      <c r="B51" s="11">
        <v>2</v>
      </c>
      <c r="C51" s="11">
        <f t="shared" si="4"/>
        <v>0.13406400920712788</v>
      </c>
      <c r="D51" s="11">
        <f t="shared" si="5"/>
        <v>0.32967995396436073</v>
      </c>
    </row>
    <row r="52" spans="1:4">
      <c r="B52" s="11">
        <v>3</v>
      </c>
      <c r="C52" s="11">
        <f t="shared" si="4"/>
        <v>0.10976232721880529</v>
      </c>
      <c r="D52" s="11">
        <f t="shared" si="5"/>
        <v>0.45118836390597356</v>
      </c>
    </row>
    <row r="53" spans="1:4">
      <c r="B53" s="11">
        <v>4</v>
      </c>
      <c r="C53" s="11">
        <f t="shared" si="4"/>
        <v>8.9865792823444313E-2</v>
      </c>
      <c r="D53" s="11">
        <f t="shared" si="5"/>
        <v>0.55067103588277844</v>
      </c>
    </row>
    <row r="54" spans="1:4">
      <c r="B54" s="11">
        <v>5</v>
      </c>
      <c r="C54" s="11">
        <f t="shared" si="4"/>
        <v>7.357588823428847E-2</v>
      </c>
      <c r="D54" s="11">
        <f t="shared" si="5"/>
        <v>0.63212055882855767</v>
      </c>
    </row>
    <row r="55" spans="1:4">
      <c r="B55" s="11">
        <v>6</v>
      </c>
      <c r="C55" s="11">
        <f t="shared" si="4"/>
        <v>6.0238842382440407E-2</v>
      </c>
      <c r="D55" s="11">
        <f t="shared" si="5"/>
        <v>0.69880578808779803</v>
      </c>
    </row>
    <row r="56" spans="1:4">
      <c r="B56" s="11">
        <v>7</v>
      </c>
      <c r="C56" s="11">
        <f t="shared" si="4"/>
        <v>4.9319392788321287E-2</v>
      </c>
      <c r="D56" s="11">
        <f t="shared" si="5"/>
        <v>0.75340303605839354</v>
      </c>
    </row>
    <row r="57" spans="1:4">
      <c r="B57" s="11">
        <v>8</v>
      </c>
      <c r="C57" s="11">
        <f t="shared" si="4"/>
        <v>4.0379303598931077E-2</v>
      </c>
      <c r="D57" s="11">
        <f t="shared" si="5"/>
        <v>0.79810348200534464</v>
      </c>
    </row>
    <row r="58" spans="1:4">
      <c r="B58" s="11">
        <v>9</v>
      </c>
      <c r="C58" s="11">
        <f t="shared" si="4"/>
        <v>3.3059777644317306E-2</v>
      </c>
      <c r="D58" s="11">
        <f t="shared" si="5"/>
        <v>0.83470111177841344</v>
      </c>
    </row>
    <row r="59" spans="1:4">
      <c r="B59" s="11">
        <v>10</v>
      </c>
      <c r="C59" s="11">
        <f t="shared" si="4"/>
        <v>2.7067056647322542E-2</v>
      </c>
      <c r="D59" s="11">
        <f t="shared" si="5"/>
        <v>0.8646647167633873</v>
      </c>
    </row>
    <row r="62" spans="1:4" ht="30" customHeight="1"/>
    <row r="63" spans="1:4" ht="28.2" customHeight="1"/>
    <row r="64" spans="1:4">
      <c r="A64">
        <v>7</v>
      </c>
      <c r="B64" s="1" t="s">
        <v>48</v>
      </c>
    </row>
    <row r="65" spans="1:4">
      <c r="B65" s="1"/>
    </row>
    <row r="66" spans="1:4">
      <c r="B66" s="1" t="s">
        <v>49</v>
      </c>
    </row>
    <row r="69" spans="1:4">
      <c r="A69" s="9" t="s">
        <v>50</v>
      </c>
      <c r="C69" s="13" t="s">
        <v>51</v>
      </c>
      <c r="D69" s="13">
        <f>AVERAGE(A70, A74)</f>
        <v>249</v>
      </c>
    </row>
    <row r="70" spans="1:4">
      <c r="A70" s="9">
        <v>248</v>
      </c>
      <c r="C70" s="13" t="s">
        <v>52</v>
      </c>
      <c r="D70" s="13">
        <f>_xlfn.STDEV.S(A70, A74)</f>
        <v>1.4142135623730951</v>
      </c>
    </row>
    <row r="71" spans="1:4">
      <c r="A71" s="9">
        <v>252</v>
      </c>
    </row>
    <row r="72" spans="1:4">
      <c r="A72" s="9">
        <v>249</v>
      </c>
    </row>
    <row r="73" spans="1:4">
      <c r="A73" s="9">
        <v>251</v>
      </c>
    </row>
    <row r="74" spans="1:4">
      <c r="A74" s="9">
        <v>250</v>
      </c>
    </row>
    <row r="76" spans="1:4">
      <c r="B76" s="11" t="s">
        <v>53</v>
      </c>
      <c r="C76" s="11" t="s">
        <v>54</v>
      </c>
    </row>
    <row r="77" spans="1:4">
      <c r="B77" s="11">
        <v>245</v>
      </c>
      <c r="C77" s="11">
        <f>_xlfn.NORM.DIST(B77, $D$69, $D$70, FALSE)</f>
        <v>5.1667463385230176E-3</v>
      </c>
    </row>
    <row r="78" spans="1:4">
      <c r="B78" s="11">
        <v>246</v>
      </c>
      <c r="C78" s="11">
        <f t="shared" ref="C78:C85" si="6">_xlfn.NORM.DIST(B78, $D$69, $D$70, FALSE)</f>
        <v>2.9732572305907361E-2</v>
      </c>
    </row>
    <row r="79" spans="1:4">
      <c r="B79" s="11">
        <v>247</v>
      </c>
      <c r="C79" s="11">
        <f t="shared" si="6"/>
        <v>0.10377687435514869</v>
      </c>
    </row>
    <row r="80" spans="1:4">
      <c r="B80" s="11">
        <v>248</v>
      </c>
      <c r="C80" s="11">
        <f t="shared" si="6"/>
        <v>0.21969564473386119</v>
      </c>
    </row>
    <row r="81" spans="2:3">
      <c r="B81" s="11">
        <v>249</v>
      </c>
      <c r="C81" s="11">
        <f t="shared" si="6"/>
        <v>0.28209479177387814</v>
      </c>
    </row>
    <row r="82" spans="2:3">
      <c r="B82" s="11">
        <v>250</v>
      </c>
      <c r="C82" s="11">
        <f t="shared" si="6"/>
        <v>0.21969564473386119</v>
      </c>
    </row>
    <row r="83" spans="2:3">
      <c r="B83" s="11">
        <v>251</v>
      </c>
      <c r="C83" s="11">
        <f t="shared" si="6"/>
        <v>0.10377687435514869</v>
      </c>
    </row>
    <row r="84" spans="2:3">
      <c r="B84" s="11">
        <v>252</v>
      </c>
      <c r="C84" s="11">
        <f t="shared" si="6"/>
        <v>2.9732572305907361E-2</v>
      </c>
    </row>
    <row r="85" spans="2:3">
      <c r="B85" s="11">
        <v>253</v>
      </c>
      <c r="C85" s="11">
        <f t="shared" si="6"/>
        <v>5.1667463385230176E-3</v>
      </c>
    </row>
  </sheetData>
  <conditionalFormatting sqref="B77:C85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4:D21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49:D59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9:D7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{8D1D921F-920C-40E2-939C-7873456CD2B9}</x14:id>
        </ext>
      </extLst>
    </cfRule>
  </conditionalFormatting>
  <pageMargins left="0.7" right="0.7" top="0.75" bottom="0.75" header="0.3" footer="0.3"/>
  <pageSetup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1D921F-920C-40E2-939C-7873456CD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D69:D70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BC498-0E0E-4C27-90C6-B332F70371E3}">
  <dimension ref="A1:J59"/>
  <sheetViews>
    <sheetView workbookViewId="0">
      <selection activeCell="F31" sqref="F31"/>
    </sheetView>
  </sheetViews>
  <sheetFormatPr defaultRowHeight="14.4"/>
  <cols>
    <col min="1" max="1" width="9.6640625" customWidth="1"/>
    <col min="2" max="2" width="14.77734375" customWidth="1"/>
    <col min="4" max="4" width="14.21875" customWidth="1"/>
    <col min="5" max="5" width="10.77734375" customWidth="1"/>
    <col min="6" max="6" width="9.6640625" customWidth="1"/>
    <col min="7" max="7" width="15.77734375" customWidth="1"/>
  </cols>
  <sheetData>
    <row r="1" spans="1:10" ht="28.2" customHeight="1">
      <c r="A1" s="11" t="s">
        <v>0</v>
      </c>
      <c r="B1" s="11" t="s">
        <v>1</v>
      </c>
      <c r="C1" s="11"/>
      <c r="D1" s="11" t="s">
        <v>30</v>
      </c>
      <c r="E1" s="4"/>
    </row>
    <row r="2" spans="1:10" ht="28.2" customHeight="1">
      <c r="A2" s="11" t="s">
        <v>3</v>
      </c>
      <c r="B2" s="11" t="s">
        <v>4</v>
      </c>
      <c r="C2" s="11"/>
      <c r="D2" s="11" t="s">
        <v>31</v>
      </c>
      <c r="E2" s="4"/>
    </row>
    <row r="6" spans="1:10">
      <c r="A6">
        <v>8</v>
      </c>
      <c r="B6" s="11" t="s">
        <v>55</v>
      </c>
      <c r="C6" s="11" t="s">
        <v>61</v>
      </c>
      <c r="E6" s="9" t="s">
        <v>59</v>
      </c>
      <c r="F6" s="9">
        <v>2</v>
      </c>
    </row>
    <row r="7" spans="1:10" ht="23.4">
      <c r="B7" s="15">
        <f ca="1">-LN(RAND())/$F$7</f>
        <v>0.20058776236660555</v>
      </c>
      <c r="C7" s="15" t="str">
        <f ca="1">IF(B7 &lt; 1,"0 - 1",IF(B7 &lt; 2,"1 - 2",IF(B7 &lt; 3,"2 - 3",IF(B7 &lt; 4,"3 - 4",IF(B7 &lt; 5,"4 - 5","5+")))))</f>
        <v>0 - 1</v>
      </c>
      <c r="E7" s="9" t="s">
        <v>60</v>
      </c>
      <c r="F7" s="9">
        <v>0.5</v>
      </c>
      <c r="H7" s="7" t="s">
        <v>57</v>
      </c>
    </row>
    <row r="8" spans="1:10">
      <c r="B8" s="15">
        <f ca="1">-LN(RAND())/$F$7</f>
        <v>1.1832361609929216</v>
      </c>
      <c r="C8" s="15" t="str">
        <f t="shared" ref="C8:C13" ca="1" si="0">IF(B8 &lt; 1,"0 - 1",IF(B8 &lt; 2,"1 - 2",IF(B8 &lt; 3,"2 - 3",IF(B8 &lt; 4,"3 - 4",IF(B8 &lt; 5,"4 - 5","5+")))))</f>
        <v>1 - 2</v>
      </c>
    </row>
    <row r="9" spans="1:10">
      <c r="B9" s="15">
        <f ca="1">-LN(RAND())/$F$7</f>
        <v>5.7139402234958698</v>
      </c>
      <c r="C9" s="15" t="str">
        <f t="shared" ca="1" si="0"/>
        <v>5+</v>
      </c>
      <c r="F9" s="11" t="s">
        <v>62</v>
      </c>
      <c r="G9" s="11" t="s">
        <v>63</v>
      </c>
      <c r="I9" s="12" t="s">
        <v>58</v>
      </c>
      <c r="J9" s="12" t="s">
        <v>64</v>
      </c>
    </row>
    <row r="10" spans="1:10">
      <c r="B10" s="15">
        <f ca="1">-LN(RAND())/$F$7</f>
        <v>4.3371125534308259</v>
      </c>
      <c r="C10" s="15" t="str">
        <f t="shared" ca="1" si="0"/>
        <v>4 - 5</v>
      </c>
      <c r="F10" s="11">
        <v>0</v>
      </c>
      <c r="G10" s="11">
        <v>0</v>
      </c>
      <c r="I10" s="12">
        <f>EXP(-$F$7 * F10) - EXP(-$F$7 * G10)</f>
        <v>0</v>
      </c>
      <c r="J10" s="12">
        <f>(1-EXP(-$F$7*AVERAGE(F10,G10)))</f>
        <v>0</v>
      </c>
    </row>
    <row r="11" spans="1:10">
      <c r="B11" s="15">
        <f ca="1">-LN(RAND())/$F$7</f>
        <v>2.3008375576884941</v>
      </c>
      <c r="C11" s="15" t="str">
        <f t="shared" ca="1" si="0"/>
        <v>2 - 3</v>
      </c>
      <c r="F11" s="11">
        <v>1</v>
      </c>
      <c r="G11" s="11">
        <v>2</v>
      </c>
      <c r="I11" s="12">
        <f>EXP(-$F$7 * F11) - EXP(-$F$7 * G11)</f>
        <v>0.23865121854119109</v>
      </c>
      <c r="J11" s="12">
        <f>(1-EXP(-$F$7*AVERAGE(F11,G11)))</f>
        <v>0.52763344725898531</v>
      </c>
    </row>
    <row r="12" spans="1:10">
      <c r="B12" s="15">
        <f ca="1">-LN(RAND())/$F$7</f>
        <v>2.8123673263211035</v>
      </c>
      <c r="C12" s="15" t="str">
        <f t="shared" ca="1" si="0"/>
        <v>2 - 3</v>
      </c>
      <c r="F12" s="11">
        <v>2</v>
      </c>
      <c r="G12" s="11">
        <v>3</v>
      </c>
      <c r="I12" s="12">
        <f>EXP(-$F$7 * F12) - EXP(-$F$7 * G12)</f>
        <v>0.14474928102301252</v>
      </c>
      <c r="J12" s="12">
        <f>(1-EXP(-$F$7*AVERAGE(F12,G12)))</f>
        <v>0.71349520313980985</v>
      </c>
    </row>
    <row r="13" spans="1:10">
      <c r="B13" s="15">
        <f ca="1">-LN(RAND())/$F$7</f>
        <v>10.069577488787393</v>
      </c>
      <c r="C13" s="15" t="str">
        <f t="shared" ca="1" si="0"/>
        <v>5+</v>
      </c>
      <c r="F13" s="11">
        <v>3</v>
      </c>
      <c r="G13" s="11">
        <v>4</v>
      </c>
      <c r="I13" s="12">
        <f>EXP(-$F$7 * F13) - EXP(-$F$7 * G13)</f>
        <v>8.7794876911817116E-2</v>
      </c>
      <c r="J13" s="12">
        <f>(1-EXP(-$F$7*AVERAGE(F13,G13)))</f>
        <v>0.82622605654955483</v>
      </c>
    </row>
    <row r="14" spans="1:10">
      <c r="F14" s="11">
        <v>4</v>
      </c>
      <c r="G14" s="11">
        <v>5</v>
      </c>
      <c r="I14" s="12">
        <f>EXP(-$F$7 * F14) - EXP(-$F$7 * G14)</f>
        <v>5.3250284612713902E-2</v>
      </c>
      <c r="J14" s="12">
        <f>(1-EXP(-$F$7*AVERAGE(F14,G14)))</f>
        <v>0.89460077543813565</v>
      </c>
    </row>
    <row r="15" spans="1:10" ht="13.8" customHeight="1">
      <c r="F15" s="11">
        <v>5</v>
      </c>
      <c r="G15" s="11">
        <v>5</v>
      </c>
      <c r="I15" s="12">
        <f>EXP(-$F$7 * F15) - EXP(-$F$7 * G15)</f>
        <v>0</v>
      </c>
      <c r="J15" s="12">
        <f>(1-EXP(-$F$7*AVERAGE(F15,G15)))</f>
        <v>0.91791500137610116</v>
      </c>
    </row>
    <row r="16" spans="1:10" ht="28.8" customHeight="1"/>
    <row r="17" spans="1:10" ht="29.4" customHeight="1"/>
    <row r="19" spans="1:10" ht="23.4">
      <c r="B19" s="11" t="s">
        <v>65</v>
      </c>
      <c r="C19" s="11" t="s">
        <v>56</v>
      </c>
      <c r="E19" s="9" t="s">
        <v>66</v>
      </c>
      <c r="F19" s="9">
        <v>35</v>
      </c>
      <c r="H19" s="7" t="s">
        <v>75</v>
      </c>
    </row>
    <row r="20" spans="1:10">
      <c r="B20" s="11">
        <f ca="1">_xlfn.NORM.INV(RAND(),$F$19,$F$20)</f>
        <v>32.226368094490837</v>
      </c>
      <c r="C20" s="11" t="str">
        <f ca="1">IF(B20&lt;35,"30 - 35",IF(B20&lt;40,"35 - 40",IF(B20&lt;45,"40 - 45",IF(B20&lt;50,"45 - 50",IF(B20&lt;55,"50 - 55",IF(B20&lt;60,"55 - 60",IF(B20&lt;65,"60 - 65","65+")))))))</f>
        <v>30 - 35</v>
      </c>
      <c r="E20" s="9" t="s">
        <v>67</v>
      </c>
      <c r="F20" s="9">
        <v>27</v>
      </c>
    </row>
    <row r="21" spans="1:10">
      <c r="B21" s="11">
        <f ca="1">_xlfn.NORM.INV(RAND(),$F$19,$F$20)</f>
        <v>40.391895090622072</v>
      </c>
      <c r="C21" s="11" t="str">
        <f t="shared" ref="C21:C26" ca="1" si="1">IF(B21&lt;35,"30 - 35",IF(B21&lt;40,"35 - 40",IF(B21&lt;45,"40 - 45",IF(B21&lt;50,"45 - 50",IF(B21&lt;55,"50 - 55",IF(B21&lt;60,"55 - 60",IF(B21&lt;65,"60 - 65","65+")))))))</f>
        <v>40 - 45</v>
      </c>
    </row>
    <row r="22" spans="1:10">
      <c r="B22" s="11">
        <f ca="1">_xlfn.NORM.INV(RAND(),$F$19,$F$20)</f>
        <v>26.727769999782851</v>
      </c>
      <c r="C22" s="11" t="str">
        <f t="shared" ca="1" si="1"/>
        <v>30 - 35</v>
      </c>
      <c r="E22" s="11" t="s">
        <v>56</v>
      </c>
      <c r="F22" s="11" t="s">
        <v>62</v>
      </c>
      <c r="G22" s="11" t="s">
        <v>63</v>
      </c>
      <c r="I22" s="12" t="s">
        <v>58</v>
      </c>
      <c r="J22" s="12" t="s">
        <v>74</v>
      </c>
    </row>
    <row r="23" spans="1:10">
      <c r="B23" s="11">
        <f ca="1">_xlfn.NORM.INV(RAND(),$F$19,$F$20)</f>
        <v>-0.26478719631215597</v>
      </c>
      <c r="C23" s="11" t="str">
        <f t="shared" ca="1" si="1"/>
        <v>30 - 35</v>
      </c>
      <c r="E23" s="11" t="s">
        <v>68</v>
      </c>
      <c r="F23" s="11">
        <f>VALUE(LEFT(E23,FIND(" - ",E23)))</f>
        <v>30</v>
      </c>
      <c r="G23" s="11">
        <f>VALUE(RIGHT(E23,FIND(" - ",E23)))</f>
        <v>35</v>
      </c>
      <c r="I23" s="12">
        <f>_xlfn.NORM.DIST(G23,$F$19,$F$20,TRUE) - _xlfn.NORM.DIST(F23,$F$19,$F$20,TRUE)</f>
        <v>7.3458105684034325E-2</v>
      </c>
      <c r="J23" s="12">
        <f>_xlfn.NORM.DIST(AVERAGE(F23,G23),$F$19,$F$20,TRUE)</f>
        <v>0.4631136143611137</v>
      </c>
    </row>
    <row r="24" spans="1:10">
      <c r="B24" s="11">
        <f ca="1">_xlfn.NORM.INV(RAND(),$F$19,$F$20)</f>
        <v>88.22657102345589</v>
      </c>
      <c r="C24" s="11" t="str">
        <f t="shared" ca="1" si="1"/>
        <v>65+</v>
      </c>
      <c r="E24" s="11" t="s">
        <v>69</v>
      </c>
      <c r="F24" s="11">
        <f t="shared" ref="F24:F28" si="2">VALUE(LEFT(E24,FIND(" - ",E24)))</f>
        <v>35</v>
      </c>
      <c r="G24" s="11">
        <f t="shared" ref="G24:G28" si="3">VALUE(RIGHT(E24,FIND(" - ",E24)))</f>
        <v>40</v>
      </c>
      <c r="I24" s="12">
        <f>_xlfn.NORM.DIST(G24,$F$19,$F$20,TRUE) - _xlfn.NORM.DIST(F24,$F$19,$F$20,TRUE)</f>
        <v>7.3458105684034325E-2</v>
      </c>
      <c r="J24" s="12">
        <f>_xlfn.NORM.DIST(AVERAGE(F24,G24),$F$19,$F$20,TRUE)</f>
        <v>0.53688638563888635</v>
      </c>
    </row>
    <row r="25" spans="1:10">
      <c r="B25" s="11">
        <f ca="1">_xlfn.NORM.INV(RAND(),$F$19,$F$20)</f>
        <v>20.692257943406286</v>
      </c>
      <c r="C25" s="11" t="str">
        <f t="shared" ca="1" si="1"/>
        <v>30 - 35</v>
      </c>
      <c r="E25" s="11" t="s">
        <v>70</v>
      </c>
      <c r="F25" s="11">
        <f t="shared" si="2"/>
        <v>40</v>
      </c>
      <c r="G25" s="11">
        <f t="shared" si="3"/>
        <v>45</v>
      </c>
      <c r="I25" s="12">
        <f>_xlfn.NORM.DIST(G25,$F$19,$F$20,TRUE) - _xlfn.NORM.DIST(F25,$F$19,$F$20,TRUE)</f>
        <v>7.0988620518563805E-2</v>
      </c>
      <c r="J25" s="12">
        <f>_xlfn.NORM.DIST(AVERAGE(F25,G25),$F$19,$F$20,TRUE)</f>
        <v>0.60940852456642502</v>
      </c>
    </row>
    <row r="26" spans="1:10">
      <c r="B26" s="11">
        <f ca="1">_xlfn.NORM.INV(RAND(),$F$19,$F$20)</f>
        <v>-11.319334651060387</v>
      </c>
      <c r="C26" s="11" t="str">
        <f t="shared" ca="1" si="1"/>
        <v>30 - 35</v>
      </c>
      <c r="E26" s="11" t="s">
        <v>71</v>
      </c>
      <c r="F26" s="11">
        <f t="shared" si="2"/>
        <v>45</v>
      </c>
      <c r="G26" s="11">
        <f t="shared" si="3"/>
        <v>50</v>
      </c>
      <c r="I26" s="12">
        <f>_xlfn.NORM.DIST(G26,$F$19,$F$20,TRUE) - _xlfn.NORM.DIST(F26,$F$19,$F$20,TRUE)</f>
        <v>6.6295913043429966E-2</v>
      </c>
      <c r="J26" s="12">
        <f>_xlfn.NORM.DIST(AVERAGE(F26,G26),$F$19,$F$20,TRUE)</f>
        <v>0.67830454249168759</v>
      </c>
    </row>
    <row r="27" spans="1:10">
      <c r="E27" s="11" t="s">
        <v>72</v>
      </c>
      <c r="F27" s="11">
        <f t="shared" si="2"/>
        <v>50</v>
      </c>
      <c r="G27" s="11">
        <f t="shared" si="3"/>
        <v>60</v>
      </c>
      <c r="I27" s="12">
        <f>_xlfn.NORM.DIST(G27,$F$19,$F$20,TRUE) - _xlfn.NORM.DIST(F27,$F$19,$F$20,TRUE)</f>
        <v>0.11201512231731603</v>
      </c>
      <c r="J27" s="12">
        <f>_xlfn.NORM.DIST(AVERAGE(F27,G27),$F$19,$F$20,TRUE)</f>
        <v>0.77057467403526636</v>
      </c>
    </row>
    <row r="28" spans="1:10" ht="16.8" customHeight="1">
      <c r="E28" s="11" t="s">
        <v>73</v>
      </c>
      <c r="F28" s="11">
        <v>65</v>
      </c>
      <c r="G28" s="11">
        <v>65</v>
      </c>
      <c r="I28" s="12">
        <f>_xlfn.NORM.DIST(G28,$F$19,$F$20,TRUE) - _xlfn.NORM.DIST(F28,$F$19,$F$20,TRUE)</f>
        <v>0</v>
      </c>
      <c r="J28" s="12">
        <f>_xlfn.NORM.DIST(AVERAGE(F28,G28),$F$19,$F$20,TRUE)</f>
        <v>0.86673973709749452</v>
      </c>
    </row>
    <row r="29" spans="1:10" ht="29.4" customHeight="1"/>
    <row r="30" spans="1:10" ht="27.6" customHeight="1"/>
    <row r="31" spans="1:10" ht="21">
      <c r="A31" s="21">
        <v>9</v>
      </c>
      <c r="B31" s="21" t="s">
        <v>76</v>
      </c>
      <c r="C31" s="21"/>
      <c r="D31" s="21"/>
      <c r="E31" s="21"/>
      <c r="F31" s="21"/>
    </row>
    <row r="32" spans="1:10">
      <c r="B32" s="2" t="s">
        <v>77</v>
      </c>
    </row>
    <row r="33" spans="1:5">
      <c r="B33" t="s">
        <v>78</v>
      </c>
    </row>
    <row r="34" spans="1:5">
      <c r="B34" s="6" t="s">
        <v>79</v>
      </c>
    </row>
    <row r="35" spans="1:5">
      <c r="B35" s="1"/>
    </row>
    <row r="36" spans="1:5">
      <c r="A36" s="11" t="s">
        <v>80</v>
      </c>
      <c r="B36" s="17">
        <v>250</v>
      </c>
      <c r="D36" s="8" t="s">
        <v>82</v>
      </c>
      <c r="E36" s="8">
        <f>_xlfn.BINOM.DIST(20, 250, 0.08, FALSE)</f>
        <v>9.2614536254386523E-2</v>
      </c>
    </row>
    <row r="37" spans="1:5">
      <c r="A37" s="11" t="s">
        <v>81</v>
      </c>
      <c r="B37" s="16">
        <v>0.08</v>
      </c>
      <c r="D37" s="8" t="s">
        <v>83</v>
      </c>
      <c r="E37" s="8">
        <f>1 - _xlfn.BINOM.DIST(14, 250, 0.08, TRUE)</f>
        <v>0.90462275944881909</v>
      </c>
    </row>
    <row r="38" spans="1:5">
      <c r="B38" s="3"/>
    </row>
    <row r="39" spans="1:5" ht="29.4" customHeight="1"/>
    <row r="40" spans="1:5" ht="28.2" customHeight="1"/>
    <row r="41" spans="1:5" ht="21">
      <c r="A41" s="21">
        <v>10</v>
      </c>
      <c r="B41" s="21" t="s">
        <v>84</v>
      </c>
      <c r="C41" s="21"/>
      <c r="D41" s="21"/>
    </row>
    <row r="42" spans="1:5">
      <c r="B42" t="s">
        <v>85</v>
      </c>
    </row>
    <row r="43" spans="1:5">
      <c r="B43" t="s">
        <v>86</v>
      </c>
    </row>
    <row r="44" spans="1:5">
      <c r="B44" s="5" t="s">
        <v>87</v>
      </c>
    </row>
    <row r="45" spans="1:5">
      <c r="B45" s="1"/>
    </row>
    <row r="46" spans="1:5">
      <c r="A46" s="11" t="s">
        <v>88</v>
      </c>
      <c r="B46" s="16">
        <v>4.5</v>
      </c>
    </row>
    <row r="47" spans="1:5">
      <c r="A47" s="11" t="s">
        <v>82</v>
      </c>
      <c r="B47" s="16">
        <f>_xlfn.POISSON.DIST(3, 4.5, FALSE)</f>
        <v>0.16871788492455503</v>
      </c>
    </row>
    <row r="48" spans="1:5">
      <c r="A48" s="11" t="s">
        <v>83</v>
      </c>
      <c r="B48" s="16">
        <f>1 - _xlfn.POISSON.DIST(5, 4.5, TRUE)</f>
        <v>0.29706956513917271</v>
      </c>
    </row>
    <row r="49" spans="1:4" ht="29.4" customHeight="1"/>
    <row r="50" spans="1:4" ht="28.8" customHeight="1"/>
    <row r="51" spans="1:4" ht="21">
      <c r="A51" s="21">
        <v>11</v>
      </c>
      <c r="B51" s="21" t="s">
        <v>89</v>
      </c>
      <c r="C51" s="21"/>
      <c r="D51" s="21"/>
    </row>
    <row r="52" spans="1:4">
      <c r="B52" t="s">
        <v>90</v>
      </c>
    </row>
    <row r="53" spans="1:4">
      <c r="B53" t="s">
        <v>91</v>
      </c>
    </row>
    <row r="54" spans="1:4">
      <c r="B54" s="5" t="s">
        <v>92</v>
      </c>
    </row>
    <row r="55" spans="1:4">
      <c r="B55" s="1"/>
    </row>
    <row r="56" spans="1:4">
      <c r="A56" s="9" t="s">
        <v>59</v>
      </c>
      <c r="B56" s="18">
        <v>502</v>
      </c>
    </row>
    <row r="57" spans="1:4">
      <c r="A57" s="9" t="s">
        <v>93</v>
      </c>
      <c r="B57" s="18">
        <v>4</v>
      </c>
    </row>
    <row r="58" spans="1:4">
      <c r="A58" s="9" t="s">
        <v>94</v>
      </c>
      <c r="B58" s="18">
        <f>_xlfn.NORM.DIST(495, 502, 4, TRUE)</f>
        <v>4.00591568638171E-2</v>
      </c>
    </row>
    <row r="59" spans="1:4">
      <c r="A59" s="9" t="s">
        <v>95</v>
      </c>
      <c r="B59" s="9">
        <f>_xlfn.NORM.DIST(506, 502, 4, TRUE) - _xlfn.NORM.DIST(498, 502, 4, TRUE)</f>
        <v>0.68268949213708607</v>
      </c>
    </row>
  </sheetData>
  <phoneticPr fontId="7" type="noConversion"/>
  <conditionalFormatting sqref="I10:J15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3:J28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6:E37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6:B4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6:B5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D97EA-3566-46A6-A0C4-E4023401D5C2}">
  <dimension ref="A1:F56"/>
  <sheetViews>
    <sheetView workbookViewId="0">
      <selection activeCell="G49" sqref="G49"/>
    </sheetView>
  </sheetViews>
  <sheetFormatPr defaultRowHeight="14.4"/>
  <cols>
    <col min="2" max="2" width="19.6640625" customWidth="1"/>
    <col min="3" max="3" width="13" customWidth="1"/>
    <col min="4" max="4" width="24.21875" customWidth="1"/>
    <col min="5" max="5" width="18" customWidth="1"/>
  </cols>
  <sheetData>
    <row r="1" spans="1:6" ht="28.8" customHeight="1">
      <c r="A1" s="11" t="s">
        <v>0</v>
      </c>
      <c r="B1" s="11" t="s">
        <v>1</v>
      </c>
      <c r="C1" s="11"/>
      <c r="D1" s="11" t="s">
        <v>30</v>
      </c>
      <c r="E1" s="4"/>
    </row>
    <row r="2" spans="1:6" ht="28.2" customHeight="1">
      <c r="A2" s="11" t="s">
        <v>3</v>
      </c>
      <c r="B2" s="11" t="s">
        <v>4</v>
      </c>
      <c r="C2" s="11"/>
      <c r="D2" s="11" t="s">
        <v>31</v>
      </c>
      <c r="E2" s="4"/>
    </row>
    <row r="4" spans="1:6" ht="21">
      <c r="A4" s="21">
        <v>12</v>
      </c>
      <c r="B4" s="21" t="s">
        <v>105</v>
      </c>
      <c r="C4" s="21"/>
      <c r="D4" s="21"/>
    </row>
    <row r="5" spans="1:6">
      <c r="B5" t="s">
        <v>106</v>
      </c>
    </row>
    <row r="6" spans="1:6">
      <c r="B6" t="s">
        <v>107</v>
      </c>
    </row>
    <row r="7" spans="1:6">
      <c r="B7" s="5" t="s">
        <v>108</v>
      </c>
    </row>
    <row r="8" spans="1:6">
      <c r="B8" s="1"/>
    </row>
    <row r="9" spans="1:6">
      <c r="B9" s="11" t="s">
        <v>96</v>
      </c>
      <c r="C9" s="11" t="s">
        <v>103</v>
      </c>
      <c r="D9" s="11" t="s">
        <v>102</v>
      </c>
      <c r="E9" s="4"/>
      <c r="F9" s="4"/>
    </row>
    <row r="10" spans="1:6">
      <c r="B10" s="11" t="s">
        <v>97</v>
      </c>
      <c r="C10" s="11">
        <v>100</v>
      </c>
      <c r="D10" s="11">
        <v>210</v>
      </c>
      <c r="E10" s="9" t="s">
        <v>104</v>
      </c>
      <c r="F10" s="9">
        <f>_xlfn.COVARIANCE.S(C10:C14, D10:D14)</f>
        <v>21750</v>
      </c>
    </row>
    <row r="11" spans="1:6">
      <c r="B11" s="11" t="s">
        <v>98</v>
      </c>
      <c r="C11" s="11">
        <v>200</v>
      </c>
      <c r="D11" s="11">
        <v>350</v>
      </c>
      <c r="E11" s="4"/>
      <c r="F11" s="4"/>
    </row>
    <row r="12" spans="1:6">
      <c r="B12" s="11" t="s">
        <v>99</v>
      </c>
      <c r="C12" s="11">
        <v>300</v>
      </c>
      <c r="D12" s="11">
        <v>310</v>
      </c>
      <c r="E12" s="4"/>
      <c r="F12" s="4"/>
    </row>
    <row r="13" spans="1:6">
      <c r="B13" s="11" t="s">
        <v>100</v>
      </c>
      <c r="C13" s="11">
        <v>400</v>
      </c>
      <c r="D13" s="11">
        <v>520</v>
      </c>
      <c r="E13" s="4"/>
      <c r="F13" s="4"/>
    </row>
    <row r="14" spans="1:6">
      <c r="B14" s="11" t="s">
        <v>101</v>
      </c>
      <c r="C14" s="11">
        <v>500</v>
      </c>
      <c r="D14" s="11">
        <v>560</v>
      </c>
      <c r="E14" s="4"/>
      <c r="F14" s="4"/>
    </row>
    <row r="23" spans="1:4" ht="28.8" customHeight="1"/>
    <row r="24" spans="1:4" ht="29.4" customHeight="1"/>
    <row r="25" spans="1:4" ht="21">
      <c r="A25" s="21">
        <v>13</v>
      </c>
      <c r="B25" s="21" t="s">
        <v>109</v>
      </c>
      <c r="C25" s="21"/>
      <c r="D25" s="21"/>
    </row>
    <row r="26" spans="1:4">
      <c r="B26" t="s">
        <v>110</v>
      </c>
    </row>
    <row r="27" spans="1:4">
      <c r="B27" t="s">
        <v>111</v>
      </c>
    </row>
    <row r="29" spans="1:4">
      <c r="B29" s="22" t="s">
        <v>112</v>
      </c>
      <c r="C29" s="22" t="s">
        <v>118</v>
      </c>
      <c r="D29" s="22" t="s">
        <v>119</v>
      </c>
    </row>
    <row r="30" spans="1:4">
      <c r="B30" s="22" t="s">
        <v>113</v>
      </c>
      <c r="C30" s="22">
        <v>10</v>
      </c>
      <c r="D30" s="22">
        <v>65</v>
      </c>
    </row>
    <row r="31" spans="1:4">
      <c r="B31" s="22" t="s">
        <v>114</v>
      </c>
      <c r="C31" s="22">
        <v>20</v>
      </c>
      <c r="D31" s="22">
        <v>72</v>
      </c>
    </row>
    <row r="32" spans="1:4">
      <c r="B32" s="22" t="s">
        <v>115</v>
      </c>
      <c r="C32" s="22">
        <v>30</v>
      </c>
      <c r="D32" s="22">
        <v>80</v>
      </c>
    </row>
    <row r="33" spans="1:5">
      <c r="B33" s="22" t="s">
        <v>116</v>
      </c>
      <c r="C33" s="22">
        <v>40</v>
      </c>
      <c r="D33" s="22">
        <v>85</v>
      </c>
    </row>
    <row r="34" spans="1:5">
      <c r="B34" s="22" t="s">
        <v>117</v>
      </c>
      <c r="C34" s="22">
        <v>50</v>
      </c>
      <c r="D34" s="22">
        <v>88</v>
      </c>
    </row>
    <row r="35" spans="1:5">
      <c r="B35" s="22"/>
      <c r="C35" s="22"/>
      <c r="D35" s="22"/>
    </row>
    <row r="36" spans="1:5">
      <c r="B36" s="22"/>
      <c r="C36" s="22" t="s">
        <v>120</v>
      </c>
      <c r="D36" s="22">
        <f>PEARSON(C30:C34, D30:D34)</f>
        <v>0.98607624893569146</v>
      </c>
    </row>
    <row r="37" spans="1:5" ht="28.8" customHeight="1"/>
    <row r="38" spans="1:5" ht="28.2" customHeight="1"/>
    <row r="39" spans="1:5" ht="18">
      <c r="A39" s="20">
        <v>14</v>
      </c>
      <c r="B39" s="20" t="s">
        <v>121</v>
      </c>
      <c r="C39" s="20"/>
      <c r="D39" s="20"/>
    </row>
    <row r="40" spans="1:5">
      <c r="B40" t="s">
        <v>122</v>
      </c>
    </row>
    <row r="41" spans="1:5">
      <c r="B41" t="s">
        <v>123</v>
      </c>
    </row>
    <row r="43" spans="1:5" ht="28.8">
      <c r="B43" s="23"/>
      <c r="C43" s="23"/>
      <c r="D43" s="24" t="s">
        <v>125</v>
      </c>
      <c r="E43" s="23"/>
    </row>
    <row r="44" spans="1:5">
      <c r="B44" s="23" t="s">
        <v>124</v>
      </c>
      <c r="C44" s="23">
        <v>10</v>
      </c>
      <c r="D44" s="23">
        <v>20</v>
      </c>
      <c r="E44" s="23">
        <v>30</v>
      </c>
    </row>
    <row r="45" spans="1:5">
      <c r="B45" s="23">
        <v>1</v>
      </c>
      <c r="C45" s="23">
        <v>4</v>
      </c>
      <c r="D45" s="23">
        <v>2</v>
      </c>
      <c r="E45" s="23">
        <v>0</v>
      </c>
    </row>
    <row r="46" spans="1:5">
      <c r="B46" s="23">
        <v>2</v>
      </c>
      <c r="C46" s="23">
        <v>1</v>
      </c>
      <c r="D46" s="23">
        <v>5</v>
      </c>
      <c r="E46" s="23">
        <v>2</v>
      </c>
    </row>
    <row r="47" spans="1:5">
      <c r="B47" s="23">
        <v>3</v>
      </c>
      <c r="C47" s="23">
        <v>0</v>
      </c>
      <c r="D47" s="23">
        <v>2</v>
      </c>
      <c r="E47" s="23">
        <v>4</v>
      </c>
    </row>
    <row r="48" spans="1:5">
      <c r="B48" s="23"/>
      <c r="C48" s="23"/>
      <c r="D48" s="23"/>
      <c r="E48" s="23"/>
    </row>
    <row r="49" spans="2:5">
      <c r="B49" s="23" t="s">
        <v>12</v>
      </c>
      <c r="C49" s="23">
        <f>SUM(C45:E47)</f>
        <v>20</v>
      </c>
      <c r="D49" s="23" t="s">
        <v>131</v>
      </c>
      <c r="E49" s="23">
        <v>1600</v>
      </c>
    </row>
    <row r="50" spans="2:5">
      <c r="B50" s="23" t="s">
        <v>126</v>
      </c>
      <c r="C50" s="23">
        <f>SUM(C45:E45)*B45 + SUM(C46:E46)*B46 + SUM(C47:E47)*B47</f>
        <v>40</v>
      </c>
      <c r="D50" s="23"/>
      <c r="E50" s="23"/>
    </row>
    <row r="51" spans="2:5">
      <c r="B51" s="23" t="s">
        <v>127</v>
      </c>
      <c r="C51" s="23">
        <f>SUM(C45:E45)*(B45^2) + SUM(C46:E46)*(B46^2) + SUM(C47:E47)*(B47^2)</f>
        <v>92</v>
      </c>
      <c r="D51" s="23" t="s">
        <v>132</v>
      </c>
      <c r="E51" s="23">
        <f>SQRT(((C49*C51) - (C50^2)) * ((C49*C54) - (C53^2)))</f>
        <v>2292.5967809451358</v>
      </c>
    </row>
    <row r="52" spans="2:5">
      <c r="B52" s="23"/>
      <c r="C52" s="23"/>
      <c r="D52" s="23"/>
      <c r="E52" s="23"/>
    </row>
    <row r="53" spans="2:5">
      <c r="B53" s="23" t="s">
        <v>128</v>
      </c>
      <c r="C53" s="23">
        <f>SUM(C45:C47)*C44 + SUM(D45:D47)*D44 + SUM(E45:E47)*E44</f>
        <v>410</v>
      </c>
      <c r="D53" s="23" t="s">
        <v>133</v>
      </c>
      <c r="E53" s="23">
        <f>E49 / E51</f>
        <v>0.69789856345361834</v>
      </c>
    </row>
    <row r="54" spans="2:5">
      <c r="B54" s="23" t="s">
        <v>129</v>
      </c>
      <c r="C54" s="23">
        <f>SUM(C45:C47)*(C44^2) + SUM(D45:D47)*(D44^2) + SUM(E45:E47)*(E44^2)</f>
        <v>9500</v>
      </c>
      <c r="D54" s="23"/>
      <c r="E54" s="23"/>
    </row>
    <row r="55" spans="2:5">
      <c r="B55" s="23"/>
      <c r="C55" s="23"/>
      <c r="D55" s="23"/>
      <c r="E55" s="23"/>
    </row>
    <row r="56" spans="2:5">
      <c r="B56" s="23" t="s">
        <v>130</v>
      </c>
      <c r="C56" s="23">
        <f>(B45*C44*C45)+(B45*D45*D44)+(B45*E44*E45) + (B46*C44*C46)+(B46*D44*D46)+(B46*E444*E46) + (B47*C44*C47)+(B47*D44*D47)+(B47*E44*E47)</f>
        <v>780</v>
      </c>
      <c r="D56" s="23"/>
      <c r="E56" s="23"/>
    </row>
  </sheetData>
  <conditionalFormatting sqref="C10:F14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0:D3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4:E4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{1B463F62-81AD-4514-B4CE-AB24E1050935}</x14:id>
        </ext>
      </extLst>
    </cfRule>
  </conditionalFormatting>
  <conditionalFormatting sqref="B49:E5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463F62-81AD-4514-B4CE-AB24E10509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B44:E47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54BF3-AF79-4C73-A36F-3C4C758811A0}">
  <dimension ref="A1:F13"/>
  <sheetViews>
    <sheetView tabSelected="1" workbookViewId="0">
      <selection activeCell="H15" sqref="H15"/>
    </sheetView>
  </sheetViews>
  <sheetFormatPr defaultRowHeight="14.4"/>
  <cols>
    <col min="2" max="2" width="15.109375" customWidth="1"/>
    <col min="3" max="3" width="12.44140625" customWidth="1"/>
  </cols>
  <sheetData>
    <row r="1" spans="1:6" ht="27.6" customHeight="1">
      <c r="A1" s="11" t="s">
        <v>0</v>
      </c>
      <c r="B1" s="11" t="s">
        <v>1</v>
      </c>
      <c r="C1" s="11"/>
      <c r="D1" s="11" t="s">
        <v>30</v>
      </c>
      <c r="E1" s="11"/>
    </row>
    <row r="2" spans="1:6" ht="28.8" customHeight="1">
      <c r="A2" s="11" t="s">
        <v>3</v>
      </c>
      <c r="B2" s="11" t="s">
        <v>4</v>
      </c>
      <c r="C2" s="11"/>
      <c r="D2" s="11" t="s">
        <v>31</v>
      </c>
      <c r="E2" s="11"/>
    </row>
    <row r="4" spans="1:6" ht="21">
      <c r="A4" s="21">
        <v>15</v>
      </c>
      <c r="B4" s="21" t="s">
        <v>136</v>
      </c>
      <c r="C4" s="21"/>
      <c r="D4" s="21"/>
    </row>
    <row r="5" spans="1:6" ht="21">
      <c r="A5" s="21">
        <v>16</v>
      </c>
      <c r="B5" s="21" t="s">
        <v>137</v>
      </c>
      <c r="C5" s="21"/>
      <c r="D5" s="21"/>
    </row>
    <row r="7" spans="1:6" ht="18">
      <c r="B7" s="25"/>
      <c r="C7" s="26" t="s">
        <v>138</v>
      </c>
      <c r="D7" s="25"/>
      <c r="E7" s="25"/>
      <c r="F7" s="25"/>
    </row>
    <row r="8" spans="1:6" ht="18">
      <c r="B8" s="25" t="s">
        <v>139</v>
      </c>
      <c r="C8" s="25" t="s">
        <v>140</v>
      </c>
      <c r="D8" s="25"/>
      <c r="E8" s="25" t="s">
        <v>149</v>
      </c>
      <c r="F8" s="25">
        <v>1</v>
      </c>
    </row>
    <row r="9" spans="1:6" ht="18">
      <c r="B9" s="25" t="s">
        <v>141</v>
      </c>
      <c r="C9" s="25" t="s">
        <v>142</v>
      </c>
      <c r="D9" s="25"/>
      <c r="E9" s="25" t="s">
        <v>141</v>
      </c>
      <c r="F9" s="25">
        <f ca="1">IF(RAND() &lt;= 0.3, 1, 0)</f>
        <v>0</v>
      </c>
    </row>
    <row r="10" spans="1:6" ht="18">
      <c r="B10" s="25" t="s">
        <v>134</v>
      </c>
      <c r="C10" s="25" t="s">
        <v>143</v>
      </c>
      <c r="D10" s="25"/>
      <c r="E10" s="25" t="s">
        <v>134</v>
      </c>
      <c r="F10" s="25">
        <f ca="1">_xlfn.BINOM.INV(20, 0.5, RAND())</f>
        <v>8</v>
      </c>
    </row>
    <row r="11" spans="1:6" ht="18">
      <c r="B11" s="25" t="s">
        <v>135</v>
      </c>
      <c r="C11" s="25" t="s">
        <v>144</v>
      </c>
      <c r="D11" s="25"/>
      <c r="E11" s="25" t="s">
        <v>150</v>
      </c>
      <c r="F11" s="25">
        <f ca="1">MAX(0, ROUND(_xlfn.NORM.INV(RAND(), 4, 2), 0))</f>
        <v>2</v>
      </c>
    </row>
    <row r="12" spans="1:6" ht="18">
      <c r="B12" s="25" t="s">
        <v>145</v>
      </c>
      <c r="C12" s="25" t="s">
        <v>146</v>
      </c>
      <c r="D12" s="25"/>
      <c r="E12" s="25" t="s">
        <v>151</v>
      </c>
      <c r="F12" s="25">
        <f ca="1">10 + (50 - 10) * RAND()</f>
        <v>40.382873761297645</v>
      </c>
    </row>
    <row r="13" spans="1:6" ht="18">
      <c r="B13" s="25" t="s">
        <v>147</v>
      </c>
      <c r="C13" s="25" t="s">
        <v>148</v>
      </c>
      <c r="D13" s="25"/>
      <c r="E13" s="25" t="s">
        <v>147</v>
      </c>
      <c r="F13" s="25">
        <f ca="1">_xlfn.NORM.INV(RAND(), 100, 15)</f>
        <v>119.29257257026299</v>
      </c>
    </row>
  </sheetData>
  <conditionalFormatting sqref="C8:G13">
    <cfRule type="cellIs" dxfId="0" priority="1" operator="greaterThan">
      <formula>50.15366503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Dear Romeo</dc:creator>
  <cp:keywords/>
  <dc:description/>
  <cp:lastModifiedBy>Dear Romeo</cp:lastModifiedBy>
  <cp:revision/>
  <dcterms:created xsi:type="dcterms:W3CDTF">2026-04-19T14:12:09Z</dcterms:created>
  <dcterms:modified xsi:type="dcterms:W3CDTF">2026-04-21T06:06:19Z</dcterms:modified>
  <cp:category/>
  <cp:contentStatus/>
</cp:coreProperties>
</file>